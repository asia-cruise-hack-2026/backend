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m78\Downloads\"/>
    </mc:Choice>
  </mc:AlternateContent>
  <xr:revisionPtr revIDLastSave="0" documentId="13_ncr:1_{6868F49F-0A02-4756-9153-B4BDF465457D}" xr6:coauthVersionLast="47" xr6:coauthVersionMax="47" xr10:uidLastSave="{00000000-0000-0000-0000-000000000000}"/>
  <bookViews>
    <workbookView xWindow="4152" yWindow="2136" windowWidth="17280" windowHeight="8880" activeTab="2" xr2:uid="{246FCA30-D95B-45A0-B89E-D15B895884D4}"/>
  </bookViews>
  <sheets>
    <sheet name="총괄" sheetId="11" r:id="rId1"/>
    <sheet name="제주항(JEJU)" sheetId="10" r:id="rId2"/>
    <sheet name="서귀포(SEOGWIPO)" sheetId="9" r:id="rId3"/>
    <sheet name="총괄(항구분없음)" sheetId="8" state="hidden" r:id="rId4"/>
    <sheet name="통합" sheetId="7" state="hidden" r:id="rId5"/>
  </sheets>
  <definedNames>
    <definedName name="_xlnm._FilterDatabase" localSheetId="2" hidden="1">'서귀포(SEOGWIPO)'!$A$1:$K$200</definedName>
    <definedName name="_xlnm._FilterDatabase" localSheetId="1" hidden="1">'제주항(JEJU)'!$A$1:$K$123</definedName>
    <definedName name="_xlnm._FilterDatabase" localSheetId="0" hidden="1">총괄!$A$4:$H$59</definedName>
    <definedName name="_xlnm._FilterDatabase" localSheetId="3" hidden="1">'총괄(항구분없음)'!$A$1:$F$36</definedName>
    <definedName name="_xlnm._FilterDatabase" localSheetId="4" hidden="1">통합!$A$1:$M$307</definedName>
    <definedName name="_xlnm.Print_Area" localSheetId="2">'서귀포(SEOGWIPO)'!$A$1:$K$200</definedName>
    <definedName name="_xlnm.Print_Area" localSheetId="1">'제주항(JEJU)'!$A$1:$K$123</definedName>
    <definedName name="_xlnm.Print_Area" localSheetId="0">총괄!$A$1:$H$61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10" l="1"/>
  <c r="F68" i="10" l="1"/>
  <c r="F87" i="10"/>
  <c r="F93" i="9"/>
  <c r="F129" i="9"/>
  <c r="F195" i="9" l="1"/>
  <c r="F86" i="10" l="1"/>
  <c r="F149" i="9" l="1"/>
  <c r="F69" i="10"/>
  <c r="F104" i="10"/>
  <c r="F28" i="10" l="1"/>
  <c r="F177" i="9" l="1"/>
  <c r="G59" i="11"/>
  <c r="G58" i="11"/>
  <c r="G56" i="11"/>
  <c r="G53" i="11"/>
  <c r="G52" i="11"/>
  <c r="G51" i="11"/>
  <c r="G50" i="11"/>
  <c r="G49" i="11"/>
  <c r="G47" i="11"/>
  <c r="G45" i="11"/>
  <c r="G44" i="11"/>
  <c r="G43" i="11"/>
  <c r="F59" i="11"/>
  <c r="F58" i="11"/>
  <c r="F56" i="11"/>
  <c r="F53" i="11"/>
  <c r="F52" i="11"/>
  <c r="F51" i="11"/>
  <c r="F50" i="11"/>
  <c r="F49" i="11"/>
  <c r="F47" i="11"/>
  <c r="F45" i="11"/>
  <c r="F44" i="11"/>
  <c r="F43" i="11"/>
  <c r="F134" i="9"/>
  <c r="F142" i="9"/>
  <c r="F139" i="9"/>
  <c r="F137" i="9"/>
  <c r="F60" i="9"/>
  <c r="E58" i="11" l="1"/>
  <c r="E56" i="11"/>
  <c r="E59" i="11"/>
  <c r="E45" i="11"/>
  <c r="E53" i="11"/>
  <c r="E50" i="11"/>
  <c r="E44" i="11"/>
  <c r="E52" i="11"/>
  <c r="E47" i="11"/>
  <c r="E49" i="11"/>
  <c r="E51" i="11"/>
  <c r="E43" i="1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30" i="9"/>
  <c r="F131" i="9"/>
  <c r="F132" i="9"/>
  <c r="F133" i="9"/>
  <c r="F135" i="9"/>
  <c r="F136" i="9"/>
  <c r="F138" i="9"/>
  <c r="F140" i="9"/>
  <c r="F141" i="9"/>
  <c r="F143" i="9"/>
  <c r="F144" i="9"/>
  <c r="F145" i="9"/>
  <c r="F146" i="9"/>
  <c r="F147" i="9"/>
  <c r="F148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6" i="9"/>
  <c r="F197" i="9"/>
  <c r="F198" i="9"/>
  <c r="F199" i="9"/>
  <c r="F200" i="9"/>
  <c r="F2" i="9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8" i="10"/>
  <c r="F89" i="10"/>
  <c r="F90" i="10"/>
  <c r="F91" i="10"/>
  <c r="F92" i="10"/>
  <c r="F93" i="10"/>
  <c r="F94" i="10"/>
  <c r="F96" i="10"/>
  <c r="F97" i="10"/>
  <c r="F98" i="10"/>
  <c r="F99" i="10"/>
  <c r="F100" i="10"/>
  <c r="F101" i="10"/>
  <c r="F102" i="10"/>
  <c r="F103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2" i="10"/>
  <c r="F42" i="11"/>
  <c r="F41" i="11"/>
  <c r="F38" i="11"/>
  <c r="F37" i="11"/>
  <c r="F36" i="11"/>
  <c r="F35" i="11"/>
  <c r="F33" i="11"/>
  <c r="F30" i="11"/>
  <c r="F29" i="11"/>
  <c r="F28" i="11"/>
  <c r="F26" i="11"/>
  <c r="F22" i="11"/>
  <c r="F20" i="11"/>
  <c r="F19" i="11"/>
  <c r="F18" i="11"/>
  <c r="F14" i="11"/>
  <c r="F13" i="11"/>
  <c r="F10" i="11"/>
  <c r="F9" i="11"/>
  <c r="F5" i="11"/>
  <c r="G35" i="11" l="1"/>
  <c r="G36" i="11"/>
  <c r="G37" i="11"/>
  <c r="E35" i="11" l="1"/>
  <c r="E36" i="11"/>
  <c r="F6" i="11"/>
  <c r="F7" i="11"/>
  <c r="F8" i="11"/>
  <c r="F11" i="11"/>
  <c r="F12" i="11"/>
  <c r="F15" i="11"/>
  <c r="F16" i="11"/>
  <c r="F17" i="11"/>
  <c r="F21" i="11"/>
  <c r="F23" i="11"/>
  <c r="F24" i="11"/>
  <c r="F25" i="11"/>
  <c r="F27" i="11"/>
  <c r="F31" i="11"/>
  <c r="F32" i="11"/>
  <c r="F34" i="11"/>
  <c r="F39" i="11"/>
  <c r="F40" i="11"/>
  <c r="F46" i="11"/>
  <c r="F48" i="11"/>
  <c r="F54" i="11"/>
  <c r="F55" i="11"/>
  <c r="F57" i="11"/>
  <c r="G18" i="11" l="1"/>
  <c r="G17" i="11"/>
  <c r="E18" i="11" l="1"/>
  <c r="E17" i="11"/>
  <c r="G20" i="11" l="1"/>
  <c r="E20" i="11" s="1"/>
  <c r="G21" i="11"/>
  <c r="G22" i="11"/>
  <c r="E22" i="11" s="1"/>
  <c r="G33" i="11"/>
  <c r="E33" i="11" s="1"/>
  <c r="G34" i="11"/>
  <c r="E37" i="11"/>
  <c r="G48" i="11"/>
  <c r="G14" i="11"/>
  <c r="E14" i="11" s="1"/>
  <c r="G15" i="11"/>
  <c r="G28" i="11"/>
  <c r="E28" i="11" s="1"/>
  <c r="G6" i="11"/>
  <c r="E6" i="11" s="1"/>
  <c r="G7" i="11"/>
  <c r="E7" i="11" s="1"/>
  <c r="G8" i="11"/>
  <c r="G9" i="11"/>
  <c r="E9" i="11" s="1"/>
  <c r="G10" i="11"/>
  <c r="E10" i="11" s="1"/>
  <c r="G11" i="11"/>
  <c r="G12" i="11"/>
  <c r="G13" i="11"/>
  <c r="E13" i="11" s="1"/>
  <c r="G16" i="11"/>
  <c r="G19" i="11"/>
  <c r="E19" i="11" s="1"/>
  <c r="G23" i="11"/>
  <c r="G24" i="11"/>
  <c r="G25" i="11"/>
  <c r="E25" i="11" s="1"/>
  <c r="G26" i="11"/>
  <c r="E26" i="11" s="1"/>
  <c r="G27" i="11"/>
  <c r="G29" i="11"/>
  <c r="E29" i="11" s="1"/>
  <c r="G30" i="11"/>
  <c r="E30" i="11" s="1"/>
  <c r="G31" i="11"/>
  <c r="G32" i="11"/>
  <c r="G38" i="11"/>
  <c r="E38" i="11" s="1"/>
  <c r="G39" i="11"/>
  <c r="G40" i="11"/>
  <c r="G41" i="11"/>
  <c r="E41" i="11" s="1"/>
  <c r="G42" i="11"/>
  <c r="E42" i="11" s="1"/>
  <c r="G46" i="11"/>
  <c r="G54" i="11"/>
  <c r="G55" i="11"/>
  <c r="G57" i="11"/>
  <c r="E57" i="11" s="1"/>
  <c r="G5" i="11"/>
  <c r="E21" i="11" l="1"/>
  <c r="E48" i="11"/>
  <c r="E34" i="11"/>
  <c r="E54" i="11"/>
  <c r="E55" i="11" l="1"/>
  <c r="E24" i="11" l="1"/>
  <c r="E12" i="11"/>
  <c r="E23" i="11" l="1"/>
  <c r="F4" i="11" l="1"/>
  <c r="E46" i="11" l="1"/>
  <c r="E40" i="11"/>
  <c r="E39" i="11"/>
  <c r="E32" i="11"/>
  <c r="E31" i="11"/>
  <c r="E27" i="11"/>
  <c r="E16" i="11"/>
  <c r="E15" i="11"/>
  <c r="E8" i="11"/>
  <c r="E5" i="11"/>
  <c r="E11" i="11" l="1"/>
  <c r="G4" i="11"/>
  <c r="E4" i="11" l="1"/>
  <c r="K116" i="7"/>
  <c r="E6" i="8" l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5" i="8"/>
  <c r="K163" i="7"/>
  <c r="K39" i="7"/>
  <c r="K36" i="7"/>
  <c r="K21" i="7"/>
  <c r="K22" i="7"/>
  <c r="K105" i="7"/>
  <c r="K32" i="7"/>
  <c r="K29" i="7"/>
  <c r="K23" i="7"/>
  <c r="K11" i="7"/>
  <c r="K3" i="7"/>
  <c r="K2" i="7"/>
  <c r="K203" i="7" l="1"/>
  <c r="K187" i="7"/>
  <c r="K140" i="7"/>
  <c r="K144" i="7"/>
  <c r="K150" i="7"/>
  <c r="K156" i="7"/>
  <c r="K160" i="7"/>
  <c r="K164" i="7"/>
  <c r="K170" i="7"/>
  <c r="K173" i="7"/>
  <c r="K178" i="7"/>
  <c r="K183" i="7"/>
  <c r="K197" i="7"/>
  <c r="K199" i="7"/>
  <c r="K211" i="7"/>
  <c r="K214" i="7"/>
  <c r="K223" i="7"/>
  <c r="K279" i="7"/>
  <c r="K273" i="7"/>
  <c r="K265" i="7"/>
  <c r="K261" i="7"/>
  <c r="K255" i="7"/>
  <c r="K252" i="7"/>
  <c r="K219" i="7"/>
  <c r="K208" i="7"/>
  <c r="K192" i="7"/>
  <c r="K108" i="7"/>
  <c r="K49" i="7"/>
  <c r="K267" i="7"/>
  <c r="K128" i="7"/>
  <c r="K88" i="7"/>
  <c r="K161" i="7" l="1"/>
  <c r="K212" i="7"/>
  <c r="K299" i="7"/>
  <c r="K278" i="7"/>
  <c r="K266" i="7" l="1"/>
  <c r="K215" i="7"/>
  <c r="K82" i="7"/>
  <c r="K75" i="7"/>
  <c r="K71" i="7"/>
  <c r="K65" i="7"/>
  <c r="K58" i="7"/>
  <c r="K48" i="7"/>
  <c r="K44" i="7"/>
  <c r="K40" i="7"/>
  <c r="K31" i="7"/>
  <c r="K28" i="7"/>
  <c r="K24" i="7"/>
  <c r="K20" i="7"/>
  <c r="K18" i="7"/>
  <c r="K15" i="7"/>
  <c r="K13" i="7"/>
  <c r="K10" i="7"/>
  <c r="K7" i="7"/>
  <c r="K4" i="7"/>
  <c r="K62" i="7" l="1"/>
  <c r="K283" i="7" l="1"/>
  <c r="K115" i="7"/>
  <c r="K107" i="7"/>
  <c r="K101" i="7"/>
  <c r="K217" i="7" l="1"/>
  <c r="K90" i="7"/>
  <c r="K87" i="7"/>
  <c r="K79" i="7"/>
  <c r="K64" i="7"/>
  <c r="K307" i="7"/>
  <c r="K306" i="7"/>
  <c r="K304" i="7"/>
  <c r="K41" i="7" l="1"/>
  <c r="K25" i="7"/>
  <c r="K16" i="7"/>
  <c r="K6" i="7"/>
  <c r="K180" i="7"/>
  <c r="K139" i="7"/>
  <c r="K133" i="7"/>
  <c r="K93" i="7"/>
  <c r="K51" i="7"/>
  <c r="K43" i="7"/>
  <c r="K17" i="7"/>
  <c r="K91" i="7" l="1"/>
  <c r="K81" i="7"/>
  <c r="K74" i="7"/>
  <c r="K63" i="7"/>
  <c r="K9" i="7"/>
  <c r="K14" i="7"/>
  <c r="E4" i="8" l="1"/>
  <c r="K264" i="7" l="1"/>
  <c r="K276" i="7"/>
  <c r="K291" i="7"/>
  <c r="K272" i="7" l="1"/>
  <c r="K289" i="7"/>
  <c r="K227" i="7"/>
  <c r="K205" i="7"/>
  <c r="K248" i="7" l="1"/>
  <c r="K125" i="7"/>
  <c r="K226" i="7"/>
  <c r="K153" i="7"/>
  <c r="K149" i="7"/>
  <c r="K142" i="7"/>
  <c r="K135" i="7"/>
  <c r="K112" i="7"/>
  <c r="K86" i="7"/>
  <c r="K78" i="7"/>
  <c r="K73" i="7"/>
  <c r="K68" i="7"/>
  <c r="K60" i="7"/>
  <c r="K54" i="7"/>
  <c r="K47" i="7"/>
  <c r="K104" i="7" l="1"/>
  <c r="K284" i="7"/>
  <c r="K237" i="7"/>
  <c r="K137" i="7"/>
  <c r="K106" i="7"/>
  <c r="K275" i="7"/>
  <c r="K260" i="7"/>
  <c r="K96" i="7"/>
  <c r="K241" i="7"/>
  <c r="K194" i="7"/>
  <c r="K189" i="7"/>
  <c r="K100" i="7"/>
  <c r="K127" i="7"/>
  <c r="K250" i="7"/>
  <c r="K286" i="7"/>
  <c r="K258" i="7"/>
  <c r="K233" i="7"/>
  <c r="K220" i="7"/>
  <c r="K168" i="7"/>
  <c r="K120" i="7"/>
  <c r="K19" i="7"/>
  <c r="K251" i="7"/>
  <c r="K293" i="7"/>
  <c r="K182" i="7" l="1"/>
  <c r="K177" i="7"/>
  <c r="K148" i="7"/>
  <c r="K122" i="7"/>
  <c r="K84" i="7"/>
  <c r="K70" i="7"/>
  <c r="K259" i="7" l="1"/>
  <c r="K126" i="7" l="1"/>
  <c r="K53" i="7"/>
  <c r="K56" i="7"/>
  <c r="K57" i="7"/>
  <c r="K59" i="7"/>
  <c r="K61" i="7"/>
  <c r="K66" i="7"/>
  <c r="K67" i="7"/>
  <c r="K69" i="7"/>
  <c r="K72" i="7"/>
  <c r="K76" i="7"/>
  <c r="K77" i="7"/>
  <c r="K80" i="7"/>
  <c r="K83" i="7"/>
  <c r="K85" i="7"/>
  <c r="K89" i="7"/>
  <c r="K92" i="7"/>
  <c r="K94" i="7"/>
  <c r="K95" i="7"/>
  <c r="K97" i="7"/>
  <c r="K98" i="7"/>
  <c r="K99" i="7"/>
  <c r="K102" i="7"/>
  <c r="K103" i="7"/>
  <c r="K109" i="7"/>
  <c r="K110" i="7"/>
  <c r="K111" i="7"/>
  <c r="K113" i="7"/>
  <c r="K114" i="7"/>
  <c r="K117" i="7"/>
  <c r="K118" i="7"/>
  <c r="K119" i="7"/>
  <c r="K121" i="7"/>
  <c r="K123" i="7"/>
  <c r="K124" i="7"/>
  <c r="K129" i="7"/>
  <c r="K130" i="7"/>
  <c r="K131" i="7"/>
  <c r="K132" i="7"/>
  <c r="K134" i="7"/>
  <c r="K136" i="7"/>
  <c r="K138" i="7"/>
  <c r="K141" i="7"/>
  <c r="K143" i="7"/>
  <c r="K145" i="7"/>
  <c r="K146" i="7"/>
  <c r="K147" i="7"/>
  <c r="K151" i="7"/>
  <c r="K152" i="7"/>
  <c r="K154" i="7"/>
  <c r="K155" i="7"/>
  <c r="K157" i="7"/>
  <c r="K158" i="7"/>
  <c r="K159" i="7"/>
  <c r="K162" i="7"/>
  <c r="K165" i="7"/>
  <c r="K166" i="7"/>
  <c r="K167" i="7"/>
  <c r="K169" i="7"/>
  <c r="K171" i="7"/>
  <c r="K172" i="7"/>
  <c r="K174" i="7"/>
  <c r="K175" i="7"/>
  <c r="K176" i="7"/>
  <c r="K179" i="7"/>
  <c r="K181" i="7"/>
  <c r="K184" i="7"/>
  <c r="K185" i="7"/>
  <c r="K186" i="7"/>
  <c r="K188" i="7"/>
  <c r="K190" i="7"/>
  <c r="K191" i="7"/>
  <c r="K193" i="7"/>
  <c r="K195" i="7"/>
  <c r="K196" i="7"/>
  <c r="K198" i="7"/>
  <c r="K200" i="7"/>
  <c r="K201" i="7"/>
  <c r="K202" i="7"/>
  <c r="K204" i="7"/>
  <c r="K206" i="7"/>
  <c r="K207" i="7"/>
  <c r="K209" i="7"/>
  <c r="K210" i="7"/>
  <c r="K213" i="7"/>
  <c r="K216" i="7"/>
  <c r="K218" i="7"/>
  <c r="K221" i="7"/>
  <c r="K222" i="7"/>
  <c r="K224" i="7"/>
  <c r="K225" i="7"/>
  <c r="K228" i="7"/>
  <c r="K229" i="7"/>
  <c r="K230" i="7"/>
  <c r="K231" i="7"/>
  <c r="K232" i="7"/>
  <c r="K234" i="7"/>
  <c r="K235" i="7"/>
  <c r="K236" i="7"/>
  <c r="K238" i="7"/>
  <c r="K239" i="7"/>
  <c r="K240" i="7"/>
  <c r="K242" i="7"/>
  <c r="K243" i="7"/>
  <c r="K244" i="7"/>
  <c r="K245" i="7"/>
  <c r="K246" i="7"/>
  <c r="K247" i="7"/>
  <c r="K249" i="7"/>
  <c r="K253" i="7"/>
  <c r="K254" i="7"/>
  <c r="K256" i="7"/>
  <c r="K257" i="7"/>
  <c r="K262" i="7"/>
  <c r="K263" i="7"/>
  <c r="K268" i="7"/>
  <c r="K269" i="7"/>
  <c r="K270" i="7"/>
  <c r="K271" i="7"/>
  <c r="K274" i="7"/>
  <c r="K277" i="7"/>
  <c r="K280" i="7"/>
  <c r="K281" i="7"/>
  <c r="K282" i="7"/>
  <c r="K285" i="7"/>
  <c r="K287" i="7"/>
  <c r="K288" i="7"/>
  <c r="K290" i="7"/>
  <c r="K292" i="7"/>
  <c r="K294" i="7"/>
  <c r="K295" i="7"/>
  <c r="K296" i="7"/>
  <c r="K297" i="7"/>
  <c r="K298" i="7"/>
  <c r="K300" i="7"/>
  <c r="K301" i="7"/>
  <c r="K302" i="7"/>
  <c r="K303" i="7"/>
  <c r="K305" i="7"/>
  <c r="K5" i="7"/>
  <c r="K8" i="7"/>
  <c r="K12" i="7"/>
  <c r="K26" i="7"/>
  <c r="K27" i="7"/>
  <c r="K30" i="7"/>
  <c r="K33" i="7"/>
  <c r="K34" i="7"/>
  <c r="K35" i="7"/>
  <c r="K37" i="7"/>
  <c r="K38" i="7"/>
  <c r="K42" i="7"/>
  <c r="K45" i="7"/>
  <c r="K46" i="7"/>
  <c r="K50" i="7"/>
  <c r="K55" i="7"/>
  <c r="K52" i="7"/>
</calcChain>
</file>

<file path=xl/sharedStrings.xml><?xml version="1.0" encoding="utf-8"?>
<sst xmlns="http://schemas.openxmlformats.org/spreadsheetml/2006/main" count="3694" uniqueCount="334">
  <si>
    <t>Norwegian Sky</t>
    <phoneticPr fontId="3" type="noConversion"/>
  </si>
  <si>
    <t>연번(NO)</t>
    <phoneticPr fontId="3" type="noConversion"/>
  </si>
  <si>
    <t>배정(PORT)</t>
    <phoneticPr fontId="3" type="noConversion"/>
  </si>
  <si>
    <t>출발항
(start port)</t>
    <phoneticPr fontId="3" type="noConversion"/>
  </si>
  <si>
    <t>톤수</t>
    <phoneticPr fontId="3" type="noConversion"/>
  </si>
  <si>
    <t>승객정원</t>
    <phoneticPr fontId="3" type="noConversion"/>
  </si>
  <si>
    <t>체류기간
(Hours of Stay)</t>
    <phoneticPr fontId="3" type="noConversion"/>
  </si>
  <si>
    <t>차항지
(Next Port)</t>
    <phoneticPr fontId="3" type="noConversion"/>
  </si>
  <si>
    <t>전출항지
(Previous Port)</t>
    <phoneticPr fontId="3" type="noConversion"/>
  </si>
  <si>
    <t>출항시간
(OUT)</t>
    <phoneticPr fontId="3" type="noConversion"/>
  </si>
  <si>
    <t>입항시간
(IN)</t>
    <phoneticPr fontId="3" type="noConversion"/>
  </si>
  <si>
    <t>선명
(ship Name)</t>
    <phoneticPr fontId="3" type="noConversion"/>
  </si>
  <si>
    <t>일자
(date)</t>
    <phoneticPr fontId="3" type="noConversion"/>
  </si>
  <si>
    <t>Nagasaki, JP</t>
    <phoneticPr fontId="3" type="noConversion"/>
  </si>
  <si>
    <t>Ishigaki, JP</t>
    <phoneticPr fontId="3" type="noConversion"/>
  </si>
  <si>
    <t>Norwegian Spirit</t>
    <phoneticPr fontId="3" type="noConversion"/>
  </si>
  <si>
    <t>Kanazawa, JP</t>
    <phoneticPr fontId="3" type="noConversion"/>
  </si>
  <si>
    <t>Norwegian Sun</t>
    <phoneticPr fontId="3" type="noConversion"/>
  </si>
  <si>
    <t>Nagasaki,JP</t>
    <phoneticPr fontId="3" type="noConversion"/>
  </si>
  <si>
    <t>Celebrity Millennium</t>
    <phoneticPr fontId="3" type="noConversion"/>
  </si>
  <si>
    <t>Yokohama, JP</t>
    <phoneticPr fontId="3" type="noConversion"/>
  </si>
  <si>
    <t>Kagosima, JP</t>
    <phoneticPr fontId="3" type="noConversion"/>
  </si>
  <si>
    <t>Hirosima, JP</t>
    <phoneticPr fontId="3" type="noConversion"/>
  </si>
  <si>
    <t>Kumamoto, JP</t>
    <phoneticPr fontId="3" type="noConversion"/>
  </si>
  <si>
    <t>AIDA STELLA</t>
    <phoneticPr fontId="3" type="noConversion"/>
  </si>
  <si>
    <t>ANTHEM OF THE SEAS</t>
    <phoneticPr fontId="3" type="noConversion"/>
  </si>
  <si>
    <t>Keelung, TN</t>
    <phoneticPr fontId="3" type="noConversion"/>
  </si>
  <si>
    <t>Costa Serena</t>
    <phoneticPr fontId="3" type="noConversion"/>
  </si>
  <si>
    <t>Tokyo, JP</t>
    <phoneticPr fontId="3" type="noConversion"/>
  </si>
  <si>
    <t>Sasebo, JP</t>
    <phoneticPr fontId="3" type="noConversion"/>
  </si>
  <si>
    <t>MS Regatta</t>
    <phoneticPr fontId="3" type="noConversion"/>
  </si>
  <si>
    <t>MS Seven Seas Explorer</t>
    <phoneticPr fontId="3" type="noConversion"/>
  </si>
  <si>
    <t>Nippon Maru</t>
    <phoneticPr fontId="3" type="noConversion"/>
  </si>
  <si>
    <t>Kobe, JP</t>
    <phoneticPr fontId="3" type="noConversion"/>
  </si>
  <si>
    <t>요청항</t>
    <phoneticPr fontId="3" type="noConversion"/>
  </si>
  <si>
    <t>Crystal Symphony</t>
    <phoneticPr fontId="3" type="noConversion"/>
  </si>
  <si>
    <t>Fukuoka, JP</t>
    <phoneticPr fontId="3" type="noConversion"/>
  </si>
  <si>
    <t>강정</t>
    <phoneticPr fontId="3" type="noConversion"/>
  </si>
  <si>
    <t>Keelung,TW</t>
    <phoneticPr fontId="3" type="noConversion"/>
  </si>
  <si>
    <t>Spectrum of the seas</t>
    <phoneticPr fontId="3" type="noConversion"/>
  </si>
  <si>
    <t>Nagasaki.JP</t>
    <phoneticPr fontId="3" type="noConversion"/>
  </si>
  <si>
    <t>강정</t>
    <phoneticPr fontId="3" type="noConversion"/>
  </si>
  <si>
    <t>강정</t>
    <phoneticPr fontId="3" type="noConversion"/>
  </si>
  <si>
    <t>Ovation of The Seas</t>
    <phoneticPr fontId="3" type="noConversion"/>
  </si>
  <si>
    <t>Nagasaki,JP</t>
    <phoneticPr fontId="3" type="noConversion"/>
  </si>
  <si>
    <t>Tianjin, CN</t>
    <phoneticPr fontId="3" type="noConversion"/>
  </si>
  <si>
    <t>Nagasaki,JP</t>
    <phoneticPr fontId="3" type="noConversion"/>
  </si>
  <si>
    <t>Nagasaki, JP</t>
    <phoneticPr fontId="3" type="noConversion"/>
  </si>
  <si>
    <t>강정</t>
    <phoneticPr fontId="3" type="noConversion"/>
  </si>
  <si>
    <t>Kumamoto, JP</t>
    <phoneticPr fontId="3" type="noConversion"/>
  </si>
  <si>
    <t>Kyoto,JP</t>
    <phoneticPr fontId="3" type="noConversion"/>
  </si>
  <si>
    <t>Silver Muse</t>
    <phoneticPr fontId="3" type="noConversion"/>
  </si>
  <si>
    <t>Singapore, SG</t>
    <phoneticPr fontId="3" type="noConversion"/>
  </si>
  <si>
    <t>Hongkong,HK</t>
    <phoneticPr fontId="3" type="noConversion"/>
  </si>
  <si>
    <t>Incheon,KR</t>
    <phoneticPr fontId="3" type="noConversion"/>
  </si>
  <si>
    <t>제주</t>
    <phoneticPr fontId="3" type="noConversion"/>
  </si>
  <si>
    <t>Europa 2</t>
    <phoneticPr fontId="3" type="noConversion"/>
  </si>
  <si>
    <t>Busan, KR</t>
    <phoneticPr fontId="3" type="noConversion"/>
  </si>
  <si>
    <t>Noordam</t>
    <phoneticPr fontId="3" type="noConversion"/>
  </si>
  <si>
    <t>Seabourn Quest</t>
    <phoneticPr fontId="3" type="noConversion"/>
  </si>
  <si>
    <t>Hong Kong, HK</t>
    <phoneticPr fontId="3" type="noConversion"/>
  </si>
  <si>
    <t>Naha, JP</t>
    <phoneticPr fontId="3" type="noConversion"/>
  </si>
  <si>
    <t>Mein Schiff 6</t>
    <phoneticPr fontId="3" type="noConversion"/>
  </si>
  <si>
    <t>Keelung, TW</t>
    <phoneticPr fontId="3" type="noConversion"/>
  </si>
  <si>
    <t>Silver Whisper</t>
    <phoneticPr fontId="3" type="noConversion"/>
  </si>
  <si>
    <t>Incheon, KR</t>
    <phoneticPr fontId="7" type="noConversion"/>
  </si>
  <si>
    <t>Mediterranea</t>
  </si>
  <si>
    <t>Mediterranea</t>
    <phoneticPr fontId="3" type="noConversion"/>
  </si>
  <si>
    <t>Xiamen, CN</t>
    <phoneticPr fontId="3" type="noConversion"/>
  </si>
  <si>
    <t>Scenic Eclipse II</t>
    <phoneticPr fontId="3" type="noConversion"/>
  </si>
  <si>
    <t>Nagasaki, JP</t>
    <phoneticPr fontId="3" type="noConversion"/>
  </si>
  <si>
    <t>Kitakyushu, JP</t>
    <phoneticPr fontId="3" type="noConversion"/>
  </si>
  <si>
    <t>Sasebo, JP</t>
    <phoneticPr fontId="3" type="noConversion"/>
  </si>
  <si>
    <t>강정</t>
    <phoneticPr fontId="3" type="noConversion"/>
  </si>
  <si>
    <t>Queen Elizabeth</t>
    <phoneticPr fontId="3" type="noConversion"/>
  </si>
  <si>
    <t>Adora Magic City</t>
    <phoneticPr fontId="3" type="noConversion"/>
  </si>
  <si>
    <t>MSC SPLENDIDA</t>
    <phoneticPr fontId="3" type="noConversion"/>
  </si>
  <si>
    <t>Hong Kong, HK</t>
  </si>
  <si>
    <t>Diamond Princess</t>
    <phoneticPr fontId="3" type="noConversion"/>
  </si>
  <si>
    <t>Otaru, JP</t>
    <phoneticPr fontId="3" type="noConversion"/>
  </si>
  <si>
    <t>Simizu, JP</t>
    <phoneticPr fontId="3" type="noConversion"/>
  </si>
  <si>
    <t>Diamond Princess</t>
    <phoneticPr fontId="7" type="noConversion"/>
  </si>
  <si>
    <t>MSC BELLISSIMA</t>
    <phoneticPr fontId="3" type="noConversion"/>
  </si>
  <si>
    <t>SILVER MUSE</t>
    <phoneticPr fontId="3" type="noConversion"/>
  </si>
  <si>
    <t>Incheon, KR</t>
  </si>
  <si>
    <t>제주</t>
    <phoneticPr fontId="3" type="noConversion"/>
  </si>
  <si>
    <t>Keelung, TW</t>
    <phoneticPr fontId="3" type="noConversion"/>
  </si>
  <si>
    <t>Nagasaki, JP</t>
    <phoneticPr fontId="3" type="noConversion"/>
  </si>
  <si>
    <t>제주</t>
    <phoneticPr fontId="3" type="noConversion"/>
  </si>
  <si>
    <t>Incheon, KR</t>
    <phoneticPr fontId="3" type="noConversion"/>
  </si>
  <si>
    <t>제주</t>
    <phoneticPr fontId="3" type="noConversion"/>
  </si>
  <si>
    <t>Coral Geographer</t>
    <phoneticPr fontId="3" type="noConversion"/>
  </si>
  <si>
    <t>월드와이드</t>
    <phoneticPr fontId="3" type="noConversion"/>
  </si>
  <si>
    <t>Karatsu, JP</t>
    <phoneticPr fontId="3" type="noConversion"/>
  </si>
  <si>
    <t>Incheon, KR</t>
    <phoneticPr fontId="3" type="noConversion"/>
  </si>
  <si>
    <t>강정</t>
    <phoneticPr fontId="3" type="noConversion"/>
  </si>
  <si>
    <t>제주</t>
    <phoneticPr fontId="3" type="noConversion"/>
  </si>
  <si>
    <t>강정</t>
    <phoneticPr fontId="3" type="noConversion"/>
  </si>
  <si>
    <t>Shanghai,CN</t>
  </si>
  <si>
    <t>비고</t>
    <phoneticPr fontId="3" type="noConversion"/>
  </si>
  <si>
    <t>코스타</t>
    <phoneticPr fontId="3" type="noConversion"/>
  </si>
  <si>
    <t>COSTA SERENA</t>
  </si>
  <si>
    <t>일본발/중국발</t>
    <phoneticPr fontId="3" type="noConversion"/>
  </si>
  <si>
    <t>일본발</t>
    <phoneticPr fontId="3" type="noConversion"/>
  </si>
  <si>
    <t>AIDA 크루즈</t>
    <phoneticPr fontId="3" type="noConversion"/>
  </si>
  <si>
    <t>프린세스</t>
  </si>
  <si>
    <t>DIAMOND PRINCESS</t>
  </si>
  <si>
    <t>Cunard 크루즈</t>
    <phoneticPr fontId="3" type="noConversion"/>
  </si>
  <si>
    <t>MSC</t>
    <phoneticPr fontId="3" type="noConversion"/>
  </si>
  <si>
    <t>하파그로이드크루즈</t>
  </si>
  <si>
    <t>EUROPA 2</t>
    <phoneticPr fontId="3" type="noConversion"/>
  </si>
  <si>
    <t>미쯔이 O.S.K(MOL)</t>
    <phoneticPr fontId="3" type="noConversion"/>
  </si>
  <si>
    <t>홍콩발</t>
    <phoneticPr fontId="3" type="noConversion"/>
  </si>
  <si>
    <t>NORWEGIAN 크루즈 라인</t>
    <phoneticPr fontId="3" type="noConversion"/>
  </si>
  <si>
    <t>NORWEGIAN SPIRIT</t>
    <phoneticPr fontId="3" type="noConversion"/>
  </si>
  <si>
    <t>실버시크루즈</t>
    <phoneticPr fontId="3" type="noConversion"/>
  </si>
  <si>
    <t>아도라크루즈</t>
    <phoneticPr fontId="3" type="noConversion"/>
  </si>
  <si>
    <t>MEDITERRANEA</t>
    <phoneticPr fontId="3" type="noConversion"/>
  </si>
  <si>
    <t>중국발</t>
    <phoneticPr fontId="3" type="noConversion"/>
  </si>
  <si>
    <t>ADORA MAGIC CITY</t>
    <phoneticPr fontId="3" type="noConversion"/>
  </si>
  <si>
    <t>중국(상해)발</t>
    <phoneticPr fontId="3" type="noConversion"/>
  </si>
  <si>
    <t>바이킹크루즈</t>
    <phoneticPr fontId="3" type="noConversion"/>
  </si>
  <si>
    <t>ZHAO SHANG YI DUN</t>
    <phoneticPr fontId="3" type="noConversion"/>
  </si>
  <si>
    <t>로얄케러비언</t>
    <phoneticPr fontId="3" type="noConversion"/>
  </si>
  <si>
    <t>SPECTRUM OF THE SEAS</t>
    <phoneticPr fontId="3" type="noConversion"/>
  </si>
  <si>
    <t>대만발</t>
    <phoneticPr fontId="3" type="noConversion"/>
  </si>
  <si>
    <t>텐진오리엔탈국제크루즈</t>
    <phoneticPr fontId="3" type="noConversion"/>
  </si>
  <si>
    <t>DREAM</t>
    <phoneticPr fontId="3" type="noConversion"/>
  </si>
  <si>
    <t>범례 : 일정표 분홍색(하루 2척의 크루즈선 입항)</t>
    <phoneticPr fontId="3" type="noConversion"/>
  </si>
  <si>
    <t>CELEBRITY</t>
    <phoneticPr fontId="3" type="noConversion"/>
  </si>
  <si>
    <t>CELEBRITY MILLENNIUM</t>
    <phoneticPr fontId="3" type="noConversion"/>
  </si>
  <si>
    <t>싱가포르발</t>
    <phoneticPr fontId="3" type="noConversion"/>
  </si>
  <si>
    <t>NORWEGIAN SKY</t>
    <phoneticPr fontId="3" type="noConversion"/>
  </si>
  <si>
    <t>NOORDAM</t>
    <phoneticPr fontId="3" type="noConversion"/>
  </si>
  <si>
    <t>SEABOURN QUEST</t>
    <phoneticPr fontId="3" type="noConversion"/>
  </si>
  <si>
    <t>MEIN SCHIFF 6</t>
    <phoneticPr fontId="3" type="noConversion"/>
  </si>
  <si>
    <t>SILVER WHISPER</t>
    <phoneticPr fontId="3" type="noConversion"/>
  </si>
  <si>
    <t>SCENIC ECLIPSE II</t>
    <phoneticPr fontId="3" type="noConversion"/>
  </si>
  <si>
    <t>MS REGATTA</t>
    <phoneticPr fontId="3" type="noConversion"/>
  </si>
  <si>
    <t>NORWEGIAN SUN</t>
    <phoneticPr fontId="3" type="noConversion"/>
  </si>
  <si>
    <t>2025년 국제크루즈 선석신청</t>
    <phoneticPr fontId="3" type="noConversion"/>
  </si>
  <si>
    <t>정원(명)</t>
    <phoneticPr fontId="3" type="noConversion"/>
  </si>
  <si>
    <t>톤수(ton)</t>
    <phoneticPr fontId="3" type="noConversion"/>
  </si>
  <si>
    <t>항차</t>
    <phoneticPr fontId="3" type="noConversion"/>
  </si>
  <si>
    <t>선 명</t>
    <phoneticPr fontId="3" type="noConversion"/>
  </si>
  <si>
    <t>구 분</t>
    <phoneticPr fontId="3" type="noConversion"/>
  </si>
  <si>
    <t>제주</t>
    <phoneticPr fontId="3" type="noConversion"/>
  </si>
  <si>
    <t>ZHAO SHANG YI DUN</t>
    <phoneticPr fontId="3" type="noConversion"/>
  </si>
  <si>
    <t>Shanghai,CN</t>
    <phoneticPr fontId="3" type="noConversion"/>
  </si>
  <si>
    <t>Yatsushiro, JP</t>
    <phoneticPr fontId="3" type="noConversion"/>
  </si>
  <si>
    <t>Osaka, JP</t>
    <phoneticPr fontId="3" type="noConversion"/>
  </si>
  <si>
    <t>Nagasaki, JP</t>
    <phoneticPr fontId="3" type="noConversion"/>
  </si>
  <si>
    <t>Carnival Corporation</t>
    <phoneticPr fontId="3" type="noConversion"/>
  </si>
  <si>
    <t>Coral Princess Cruises (Australia)</t>
    <phoneticPr fontId="3" type="noConversion"/>
  </si>
  <si>
    <t>16개선사</t>
    <phoneticPr fontId="3" type="noConversion"/>
  </si>
  <si>
    <t>NIPPON MARU</t>
    <phoneticPr fontId="3" type="noConversion"/>
  </si>
  <si>
    <t>TUI Cruises</t>
    <phoneticPr fontId="3" type="noConversion"/>
  </si>
  <si>
    <t xml:space="preserve"> Regent Seven Seas Cruises</t>
    <phoneticPr fontId="3" type="noConversion"/>
  </si>
  <si>
    <t>Oceania Cruises</t>
    <phoneticPr fontId="3" type="noConversion"/>
  </si>
  <si>
    <t>Crystal Cruises,</t>
    <phoneticPr fontId="3" type="noConversion"/>
  </si>
  <si>
    <t>29척</t>
    <phoneticPr fontId="3" type="noConversion"/>
  </si>
  <si>
    <t>강정</t>
    <phoneticPr fontId="3" type="noConversion"/>
  </si>
  <si>
    <t>Nagasaki, JP</t>
    <phoneticPr fontId="3" type="noConversion"/>
  </si>
  <si>
    <t>Qingdao, CN</t>
    <phoneticPr fontId="3" type="noConversion"/>
  </si>
  <si>
    <t>제주</t>
    <phoneticPr fontId="3" type="noConversion"/>
  </si>
  <si>
    <t>Hakata,JP</t>
    <phoneticPr fontId="3" type="noConversion"/>
  </si>
  <si>
    <t>NYK크루즈</t>
    <phoneticPr fontId="3" type="noConversion"/>
  </si>
  <si>
    <t>ASUKA2</t>
    <phoneticPr fontId="3" type="noConversion"/>
  </si>
  <si>
    <t>일본발</t>
    <phoneticPr fontId="3" type="noConversion"/>
  </si>
  <si>
    <t>ASUKA2</t>
    <phoneticPr fontId="3" type="noConversion"/>
  </si>
  <si>
    <t>강정</t>
    <phoneticPr fontId="3" type="noConversion"/>
  </si>
  <si>
    <t>MSC BELLISSIMA</t>
    <phoneticPr fontId="3" type="noConversion"/>
  </si>
  <si>
    <t>Kagoshima, JP</t>
    <phoneticPr fontId="3" type="noConversion"/>
  </si>
  <si>
    <t>Keeling, TW</t>
    <phoneticPr fontId="3" type="noConversion"/>
  </si>
  <si>
    <t>PIANO LAND</t>
    <phoneticPr fontId="3" type="noConversion"/>
  </si>
  <si>
    <t>제주</t>
    <phoneticPr fontId="3" type="noConversion"/>
  </si>
  <si>
    <t>Nagasaki, JP</t>
    <phoneticPr fontId="3" type="noConversion"/>
  </si>
  <si>
    <t>Shekou,CN</t>
    <phoneticPr fontId="3" type="noConversion"/>
  </si>
  <si>
    <t>Nagasaki,JP</t>
    <phoneticPr fontId="3" type="noConversion"/>
  </si>
  <si>
    <t>중국발</t>
    <phoneticPr fontId="3" type="noConversion"/>
  </si>
  <si>
    <t>강정</t>
    <phoneticPr fontId="3" type="noConversion"/>
  </si>
  <si>
    <t>강정</t>
    <phoneticPr fontId="3" type="noConversion"/>
  </si>
  <si>
    <t>Osaka, JP</t>
    <phoneticPr fontId="3" type="noConversion"/>
  </si>
  <si>
    <t>Yatsushiro,JP</t>
    <phoneticPr fontId="3" type="noConversion"/>
  </si>
  <si>
    <t>DREAM</t>
  </si>
  <si>
    <t>Naha,JP</t>
    <phoneticPr fontId="3" type="noConversion"/>
  </si>
  <si>
    <t>DREAM</t>
    <phoneticPr fontId="3" type="noConversion"/>
  </si>
  <si>
    <t>Nagasaki,jp</t>
    <phoneticPr fontId="3" type="noConversion"/>
  </si>
  <si>
    <t>제주</t>
    <phoneticPr fontId="3" type="noConversion"/>
  </si>
  <si>
    <t>ASTRO OCEAN INT. CRUISE</t>
    <phoneticPr fontId="3" type="noConversion"/>
  </si>
  <si>
    <t>MITSUI OCEAN FUJI</t>
    <phoneticPr fontId="3" type="noConversion"/>
  </si>
  <si>
    <t>강정</t>
    <phoneticPr fontId="3" type="noConversion"/>
  </si>
  <si>
    <t>DREAM</t>
    <phoneticPr fontId="3" type="noConversion"/>
  </si>
  <si>
    <t>Nagasaki,JP</t>
    <phoneticPr fontId="3" type="noConversion"/>
  </si>
  <si>
    <t>강정</t>
    <phoneticPr fontId="3" type="noConversion"/>
  </si>
  <si>
    <t>구분</t>
    <phoneticPr fontId="3" type="noConversion"/>
  </si>
  <si>
    <t>선명</t>
    <phoneticPr fontId="3" type="noConversion"/>
  </si>
  <si>
    <t>톤수
(ton)</t>
    <phoneticPr fontId="3" type="noConversion"/>
  </si>
  <si>
    <t>정원
(명)</t>
    <phoneticPr fontId="3" type="noConversion"/>
  </si>
  <si>
    <t>배정내역</t>
    <phoneticPr fontId="3" type="noConversion"/>
  </si>
  <si>
    <t>계</t>
    <phoneticPr fontId="3" type="noConversion"/>
  </si>
  <si>
    <t>제주항</t>
    <phoneticPr fontId="3" type="noConversion"/>
  </si>
  <si>
    <t>서귀포항</t>
    <phoneticPr fontId="3" type="noConversion"/>
  </si>
  <si>
    <t>Yeosu, KR</t>
    <phoneticPr fontId="3" type="noConversion"/>
  </si>
  <si>
    <t>ASUKA3</t>
  </si>
  <si>
    <t>HANSEATIC SPIRIT</t>
    <phoneticPr fontId="3" type="noConversion"/>
  </si>
  <si>
    <t xml:space="preserve">	Hapag-Lloyd Cruise</t>
    <phoneticPr fontId="3" type="noConversion"/>
  </si>
  <si>
    <t>EASTERN VENUS</t>
    <phoneticPr fontId="3" type="noConversion"/>
  </si>
  <si>
    <t>Venus Cruise Line(Japan)</t>
    <phoneticPr fontId="3" type="noConversion"/>
  </si>
  <si>
    <t>Villa Vie Odyssey Ltd</t>
    <phoneticPr fontId="3" type="noConversion"/>
  </si>
  <si>
    <t>PACIFIC WORLD</t>
  </si>
  <si>
    <t>Peace Boat Cruise</t>
    <phoneticPr fontId="3" type="noConversion"/>
  </si>
  <si>
    <t>COSTA SERENA</t>
    <phoneticPr fontId="3" type="noConversion"/>
  </si>
  <si>
    <t>연번</t>
    <phoneticPr fontId="3" type="noConversion"/>
  </si>
  <si>
    <t>배정</t>
    <phoneticPr fontId="3" type="noConversion"/>
  </si>
  <si>
    <t>입항시간</t>
    <phoneticPr fontId="3" type="noConversion"/>
  </si>
  <si>
    <t>출항시간</t>
    <phoneticPr fontId="3" type="noConversion"/>
  </si>
  <si>
    <t>이전항</t>
    <phoneticPr fontId="3" type="noConversion"/>
  </si>
  <si>
    <t>다음항</t>
    <phoneticPr fontId="3" type="noConversion"/>
  </si>
  <si>
    <t>최초
출발항</t>
    <phoneticPr fontId="3" type="noConversion"/>
  </si>
  <si>
    <t>체류
시간</t>
    <phoneticPr fontId="3" type="noConversion"/>
  </si>
  <si>
    <t>PANSTAR</t>
    <phoneticPr fontId="3" type="noConversion"/>
  </si>
  <si>
    <t>MS Sirena</t>
    <phoneticPr fontId="3" type="noConversion"/>
  </si>
  <si>
    <t>Hakata, JP</t>
    <phoneticPr fontId="3" type="noConversion"/>
  </si>
  <si>
    <t>Shanghai, CN</t>
    <phoneticPr fontId="3" type="noConversion"/>
  </si>
  <si>
    <t>Adora Magic City</t>
  </si>
  <si>
    <t>DIAMOND PRINCESS</t>
    <phoneticPr fontId="3" type="noConversion"/>
  </si>
  <si>
    <t>Hapag-Lloyd Cruises</t>
    <phoneticPr fontId="3" type="noConversion"/>
  </si>
  <si>
    <t>Noble Caledonia 
(Small Cruise Lines)</t>
    <phoneticPr fontId="3" type="noConversion"/>
  </si>
  <si>
    <t>Ponant Cruises</t>
    <phoneticPr fontId="3" type="noConversion"/>
  </si>
  <si>
    <t>Ritz-Carlton Yacht Collection</t>
    <phoneticPr fontId="3" type="noConversion"/>
  </si>
  <si>
    <t>NYK Cruises Japan</t>
    <phoneticPr fontId="3" type="noConversion"/>
  </si>
  <si>
    <t>Costa Cruises</t>
    <phoneticPr fontId="3" type="noConversion"/>
  </si>
  <si>
    <t>AIDA Cruises</t>
    <phoneticPr fontId="3" type="noConversion"/>
  </si>
  <si>
    <t>Princess Cruises</t>
    <phoneticPr fontId="3" type="noConversion"/>
  </si>
  <si>
    <t>Cunard</t>
    <phoneticPr fontId="3" type="noConversion"/>
  </si>
  <si>
    <t>Holland America</t>
    <phoneticPr fontId="3" type="noConversion"/>
  </si>
  <si>
    <t>Mitsui OSK Lines (MOL Mitsui Ocean Cruises)</t>
    <phoneticPr fontId="3" type="noConversion"/>
  </si>
  <si>
    <t>Norwegian Cruise Line</t>
    <phoneticPr fontId="3" type="noConversion"/>
  </si>
  <si>
    <t>Silversea Cruises</t>
    <phoneticPr fontId="3" type="noConversion"/>
  </si>
  <si>
    <t>Adora Cruises Carnival China</t>
    <phoneticPr fontId="3" type="noConversion"/>
  </si>
  <si>
    <t xml:space="preserve">Viking China Coastal Cruise </t>
    <phoneticPr fontId="3" type="noConversion"/>
  </si>
  <si>
    <t>Royal Caribbean</t>
    <phoneticPr fontId="3" type="noConversion"/>
  </si>
  <si>
    <t>Astro Ocean Cruises China</t>
    <phoneticPr fontId="3" type="noConversion"/>
  </si>
  <si>
    <t>Blue Dream Cruises China</t>
    <phoneticPr fontId="3" type="noConversion"/>
  </si>
  <si>
    <t>ResidenSea</t>
    <phoneticPr fontId="3" type="noConversion"/>
  </si>
  <si>
    <t>Celebrity Cruises(Royal Caribbean)</t>
    <phoneticPr fontId="3" type="noConversion"/>
  </si>
  <si>
    <t>선사</t>
    <phoneticPr fontId="3" type="noConversion"/>
  </si>
  <si>
    <t>선박</t>
    <phoneticPr fontId="3" type="noConversion"/>
  </si>
  <si>
    <t>Odyssey</t>
    <phoneticPr fontId="3" type="noConversion"/>
  </si>
  <si>
    <r>
      <rPr>
        <b/>
        <sz val="16"/>
        <color theme="1"/>
        <rFont val="맑은 고딕"/>
        <family val="3"/>
        <charset val="129"/>
        <scheme val="minor"/>
      </rPr>
      <t>Tianjin Orient Cruise Line China</t>
    </r>
    <r>
      <rPr>
        <b/>
        <sz val="18"/>
        <color theme="1"/>
        <rFont val="맑은 고딕"/>
        <family val="3"/>
        <charset val="129"/>
        <scheme val="minor"/>
      </rPr>
      <t xml:space="preserve">
(텐진오리엔탈국제크루즈)</t>
    </r>
    <phoneticPr fontId="3" type="noConversion"/>
  </si>
  <si>
    <t>Star Navigator</t>
    <phoneticPr fontId="3" type="noConversion"/>
  </si>
  <si>
    <t>강정2</t>
  </si>
  <si>
    <t>Star Cruises</t>
    <phoneticPr fontId="3" type="noConversion"/>
  </si>
  <si>
    <t>Shanghai, CN</t>
  </si>
  <si>
    <t>Fukuoka, JP</t>
  </si>
  <si>
    <t>Busan, KR</t>
  </si>
  <si>
    <t>Nagasaki, JP</t>
  </si>
  <si>
    <t>Yatsushiro, JP</t>
  </si>
  <si>
    <t>Kagosima, JP</t>
  </si>
  <si>
    <t>Sasebo, JP</t>
  </si>
  <si>
    <t>Tokyo, JP</t>
  </si>
  <si>
    <t>Kanazawa, JP</t>
  </si>
  <si>
    <t>Yokohama, JP</t>
  </si>
  <si>
    <t>Otaru, JP</t>
  </si>
  <si>
    <t>Kobe, JP</t>
  </si>
  <si>
    <t>Shimizu, JP</t>
  </si>
  <si>
    <t>Shimonoseki, JP</t>
  </si>
  <si>
    <t>Kochi, JP</t>
  </si>
  <si>
    <t>Tianjin, CN</t>
  </si>
  <si>
    <t>Crystal Cruises</t>
    <phoneticPr fontId="3" type="noConversion"/>
  </si>
  <si>
    <t>Dalian, CN</t>
    <phoneticPr fontId="3" type="noConversion"/>
  </si>
  <si>
    <t>Dream</t>
  </si>
  <si>
    <t>MS Regatta</t>
  </si>
  <si>
    <t>Yeosu, KR</t>
  </si>
  <si>
    <t>Iki, JP</t>
  </si>
  <si>
    <t>Crystal Symphony</t>
  </si>
  <si>
    <t>Celebrity Millennium</t>
  </si>
  <si>
    <t>Hirosima, JP</t>
  </si>
  <si>
    <t>Star Navigator</t>
  </si>
  <si>
    <t>Matsuyama, JP</t>
  </si>
  <si>
    <t>Island Sky</t>
  </si>
  <si>
    <t>Mitsui Ocean Fuji</t>
  </si>
  <si>
    <t>Adora Mediterranea</t>
  </si>
  <si>
    <t>Qingdao, CN</t>
  </si>
  <si>
    <t>Dalian, CN</t>
  </si>
  <si>
    <t>Hakata, JP</t>
  </si>
  <si>
    <t>Keelung, TW</t>
  </si>
  <si>
    <t>Le Jacques Cartier</t>
    <phoneticPr fontId="3" type="noConversion"/>
  </si>
  <si>
    <t>Asuka 2</t>
    <phoneticPr fontId="3" type="noConversion"/>
  </si>
  <si>
    <t>Asuka 3</t>
    <phoneticPr fontId="3" type="noConversion"/>
  </si>
  <si>
    <t>The World</t>
    <phoneticPr fontId="3" type="noConversion"/>
  </si>
  <si>
    <t>Silver Moon</t>
    <phoneticPr fontId="3" type="noConversion"/>
  </si>
  <si>
    <t>Motobu, JP</t>
    <phoneticPr fontId="3" type="noConversion"/>
  </si>
  <si>
    <t>Westerdam</t>
    <phoneticPr fontId="3" type="noConversion"/>
  </si>
  <si>
    <t>Norwegian Jade</t>
    <phoneticPr fontId="3" type="noConversion"/>
  </si>
  <si>
    <t>MSC Bellissima</t>
  </si>
  <si>
    <t>Spectrum of The Seas</t>
  </si>
  <si>
    <t>Costa Serena</t>
  </si>
  <si>
    <t>Manila, PH</t>
  </si>
  <si>
    <t>Diamond Princess</t>
  </si>
  <si>
    <t>Carnival Luminosa</t>
    <phoneticPr fontId="3" type="noConversion"/>
  </si>
  <si>
    <t>Navigator of The Seas</t>
    <phoneticPr fontId="3" type="noConversion"/>
  </si>
  <si>
    <t>강정1</t>
  </si>
  <si>
    <t>Overnight Curfew(터미널 이동제한 시간) : 22:30 ~ 7:30</t>
    <phoneticPr fontId="3" type="noConversion"/>
  </si>
  <si>
    <t>일정표 분홍색(하루 2척의 크루즈선 입항)</t>
    <phoneticPr fontId="3" type="noConversion"/>
  </si>
  <si>
    <t>Dream</t>
    <phoneticPr fontId="3" type="noConversion"/>
  </si>
  <si>
    <t>Spectrum of The Seas</t>
    <phoneticPr fontId="3" type="noConversion"/>
  </si>
  <si>
    <t>MSC Bellissima</t>
    <phoneticPr fontId="3" type="noConversion"/>
  </si>
  <si>
    <t>Adora Mediterranea</t>
    <phoneticPr fontId="3" type="noConversion"/>
  </si>
  <si>
    <t>Villa Vie Odyssey</t>
    <phoneticPr fontId="3" type="noConversion"/>
  </si>
  <si>
    <t>Villa Vie Residences</t>
    <phoneticPr fontId="3" type="noConversion"/>
  </si>
  <si>
    <t>Blue Dream Melody</t>
    <phoneticPr fontId="3" type="noConversion"/>
  </si>
  <si>
    <t>Panstar Miracle</t>
    <phoneticPr fontId="3" type="noConversion"/>
  </si>
  <si>
    <t>Piano Land</t>
    <phoneticPr fontId="3" type="noConversion"/>
  </si>
  <si>
    <t>Island Sky</t>
    <phoneticPr fontId="3" type="noConversion"/>
  </si>
  <si>
    <t>Hanseatic Inspiration</t>
    <phoneticPr fontId="3" type="noConversion"/>
  </si>
  <si>
    <t>Mitsui Ocean Fuji</t>
    <phoneticPr fontId="3" type="noConversion"/>
  </si>
  <si>
    <t>Coral Princess</t>
    <phoneticPr fontId="3" type="noConversion"/>
  </si>
  <si>
    <t>강정1</t>
    <phoneticPr fontId="3" type="noConversion"/>
  </si>
  <si>
    <t>강정2</t>
    <phoneticPr fontId="3" type="noConversion"/>
  </si>
  <si>
    <t>Kochi, JP</t>
    <phoneticPr fontId="3" type="noConversion"/>
  </si>
  <si>
    <t>Saiki, JP</t>
    <phoneticPr fontId="3" type="noConversion"/>
  </si>
  <si>
    <t>Kyoto, JP</t>
    <phoneticPr fontId="3" type="noConversion"/>
  </si>
  <si>
    <t>Shimonoseki, jp</t>
    <phoneticPr fontId="3" type="noConversion"/>
  </si>
  <si>
    <t>Visio</t>
  </si>
  <si>
    <t>Visio</t>
    <phoneticPr fontId="3" type="noConversion"/>
  </si>
  <si>
    <t>Adora Flora City</t>
    <phoneticPr fontId="3" type="noConversion"/>
  </si>
  <si>
    <t>Viking Yidun</t>
    <phoneticPr fontId="3" type="noConversion"/>
  </si>
  <si>
    <t>Shimonoseki, JP</t>
    <phoneticPr fontId="3" type="noConversion"/>
  </si>
  <si>
    <t>Ulsan, KR</t>
    <phoneticPr fontId="3" type="noConversion"/>
  </si>
  <si>
    <t>Ritz-Carlton Luminara</t>
    <phoneticPr fontId="3" type="noConversion"/>
  </si>
  <si>
    <t>2026년 국제크루즈 선석배정 결과(2026. 7. 18. 기준)</t>
    <phoneticPr fontId="3" type="noConversion"/>
  </si>
  <si>
    <t>Visio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</si>
</sst>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hh:mm;@"/>
    <numFmt numFmtId="177" formatCode="hh:mm"/>
    <numFmt numFmtId="178" formatCode="h:mm;@"/>
    <numFmt numFmtId="179" formatCode="yyyy/mm/dd\ hh:mm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Tahoma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8"/>
      <color rgb="FF333333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/>
    <xf numFmtId="41" fontId="6" fillId="0" borderId="0" applyFont="0" applyFill="0" applyBorder="0" applyAlignment="0" applyProtection="0">
      <alignment vertical="center"/>
    </xf>
    <xf numFmtId="9" fontId="1" fillId="0" borderId="0" applyFont="0" applyFill="0" applyBorder="0" applyProtection="0"/>
  </cellStyleXfs>
  <cellXfs count="245">
    <xf numFmtId="0" fontId="0" fillId="0" borderId="0" xfId="0">
      <alignment vertical="center"/>
    </xf>
    <xf numFmtId="20" fontId="2" fillId="0" borderId="1" xfId="3" applyNumberFormat="1" applyFont="1" applyBorder="1" applyAlignment="1">
      <alignment horizontal="center" vertical="center" wrapText="1"/>
    </xf>
    <xf numFmtId="176" fontId="2" fillId="0" borderId="1" xfId="2" applyNumberFormat="1" applyFont="1" applyFill="1" applyBorder="1" applyAlignment="1" applyProtection="1">
      <alignment horizontal="center" vertical="center" shrinkToFit="1"/>
      <protection locked="0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4" applyNumberFormat="1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20" fontId="2" fillId="0" borderId="3" xfId="3" applyNumberFormat="1" applyFont="1" applyBorder="1" applyAlignment="1">
      <alignment horizontal="center" vertical="center" wrapText="1"/>
    </xf>
    <xf numFmtId="41" fontId="2" fillId="0" borderId="3" xfId="1" quotePrefix="1" applyFont="1" applyFill="1" applyBorder="1" applyAlignment="1">
      <alignment vertical="center"/>
    </xf>
    <xf numFmtId="176" fontId="2" fillId="0" borderId="3" xfId="4" applyNumberFormat="1" applyFont="1" applyBorder="1" applyAlignment="1">
      <alignment horizontal="center" vertical="center"/>
    </xf>
    <xf numFmtId="176" fontId="4" fillId="0" borderId="1" xfId="2" applyNumberFormat="1" applyFont="1" applyFill="1" applyBorder="1" applyAlignment="1" applyProtection="1">
      <alignment horizontal="center" vertical="center" shrinkToFit="1"/>
      <protection locked="0"/>
    </xf>
    <xf numFmtId="41" fontId="2" fillId="0" borderId="1" xfId="1" quotePrefix="1" applyFont="1" applyFill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176" fontId="2" fillId="2" borderId="1" xfId="2" applyNumberFormat="1" applyFont="1" applyFill="1" applyBorder="1" applyAlignment="1" applyProtection="1">
      <alignment horizontal="center" vertical="center" shrinkToFit="1"/>
      <protection locked="0"/>
    </xf>
    <xf numFmtId="177" fontId="2" fillId="0" borderId="3" xfId="5" applyNumberFormat="1" applyFont="1" applyBorder="1" applyAlignment="1" applyProtection="1">
      <alignment horizontal="center" vertical="center" shrinkToFit="1"/>
      <protection locked="0"/>
    </xf>
    <xf numFmtId="41" fontId="2" fillId="0" borderId="2" xfId="1" quotePrefix="1" applyFont="1" applyFill="1" applyBorder="1" applyAlignment="1">
      <alignment vertical="center"/>
    </xf>
    <xf numFmtId="41" fontId="2" fillId="0" borderId="3" xfId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41" fontId="2" fillId="0" borderId="1" xfId="3" applyNumberFormat="1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 wrapText="1"/>
    </xf>
    <xf numFmtId="41" fontId="2" fillId="0" borderId="1" xfId="3" applyNumberFormat="1" applyFont="1" applyBorder="1" applyAlignment="1" applyProtection="1">
      <alignment horizontal="center" vertical="center" wrapText="1"/>
      <protection locked="0"/>
    </xf>
    <xf numFmtId="41" fontId="2" fillId="0" borderId="3" xfId="3" applyNumberFormat="1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3" xfId="4" applyNumberFormat="1" applyFont="1" applyBorder="1" applyAlignment="1">
      <alignment horizontal="center"/>
    </xf>
    <xf numFmtId="41" fontId="2" fillId="0" borderId="3" xfId="1" applyFont="1" applyFill="1" applyBorder="1" applyAlignment="1" applyProtection="1">
      <alignment horizontal="center" vertical="center" shrinkToFit="1"/>
      <protection locked="0"/>
    </xf>
    <xf numFmtId="41" fontId="2" fillId="0" borderId="3" xfId="3" applyNumberFormat="1" applyFont="1" applyBorder="1" applyAlignment="1" applyProtection="1">
      <alignment horizontal="center" vertical="center" wrapText="1"/>
      <protection locked="0"/>
    </xf>
    <xf numFmtId="0" fontId="2" fillId="0" borderId="3" xfId="4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0" borderId="1" xfId="4" applyNumberFormat="1" applyFont="1" applyBorder="1" applyAlignment="1">
      <alignment horizontal="center" vertical="center" wrapText="1"/>
    </xf>
    <xf numFmtId="46" fontId="2" fillId="0" borderId="1" xfId="4" applyNumberFormat="1" applyFont="1" applyBorder="1" applyAlignment="1">
      <alignment horizontal="center" vertical="center" wrapText="1"/>
    </xf>
    <xf numFmtId="20" fontId="2" fillId="0" borderId="1" xfId="5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2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2" fillId="0" borderId="1" xfId="7" quotePrefix="1" applyFont="1" applyFill="1" applyBorder="1" applyAlignment="1">
      <alignment horizontal="center" vertical="center"/>
    </xf>
    <xf numFmtId="176" fontId="2" fillId="0" borderId="3" xfId="2" applyNumberFormat="1" applyFont="1" applyFill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>
      <alignment horizontal="center" vertical="center"/>
    </xf>
    <xf numFmtId="0" fontId="9" fillId="4" borderId="8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/>
    </xf>
    <xf numFmtId="0" fontId="10" fillId="4" borderId="9" xfId="3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shrinkToFit="1"/>
    </xf>
    <xf numFmtId="0" fontId="12" fillId="0" borderId="1" xfId="3" applyFont="1" applyBorder="1" applyAlignment="1">
      <alignment horizontal="center" vertical="center" shrinkToFit="1"/>
    </xf>
    <xf numFmtId="41" fontId="12" fillId="0" borderId="1" xfId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41" fontId="11" fillId="0" borderId="1" xfId="1" applyFont="1" applyFill="1" applyBorder="1" applyAlignment="1">
      <alignment horizontal="center" vertical="center" shrinkToFit="1"/>
    </xf>
    <xf numFmtId="0" fontId="9" fillId="0" borderId="8" xfId="3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41" fontId="9" fillId="0" borderId="1" xfId="1" applyFont="1" applyFill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14" fillId="0" borderId="9" xfId="3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41" fontId="9" fillId="0" borderId="10" xfId="1" applyFont="1" applyFill="1" applyBorder="1" applyAlignment="1">
      <alignment horizontal="center" vertical="center" shrinkToFit="1"/>
    </xf>
    <xf numFmtId="0" fontId="9" fillId="0" borderId="11" xfId="3" applyFont="1" applyBorder="1" applyAlignment="1">
      <alignment horizontal="center" vertical="center" shrinkToFit="1"/>
    </xf>
    <xf numFmtId="0" fontId="9" fillId="0" borderId="0" xfId="3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3" fontId="2" fillId="0" borderId="1" xfId="7" quotePrefix="1" applyNumberFormat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 wrapText="1"/>
    </xf>
    <xf numFmtId="20" fontId="4" fillId="0" borderId="1" xfId="3" applyNumberFormat="1" applyFont="1" applyBorder="1" applyAlignment="1">
      <alignment horizontal="center" vertical="center" wrapText="1"/>
    </xf>
    <xf numFmtId="20" fontId="2" fillId="3" borderId="3" xfId="3" applyNumberFormat="1" applyFont="1" applyFill="1" applyBorder="1" applyAlignment="1">
      <alignment horizontal="center" vertical="center" wrapText="1"/>
    </xf>
    <xf numFmtId="20" fontId="2" fillId="3" borderId="1" xfId="3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20" fontId="2" fillId="0" borderId="12" xfId="3" applyNumberFormat="1" applyFont="1" applyBorder="1" applyAlignment="1">
      <alignment horizontal="center" vertical="center" wrapText="1"/>
    </xf>
    <xf numFmtId="20" fontId="2" fillId="0" borderId="10" xfId="3" applyNumberFormat="1" applyFont="1" applyBorder="1" applyAlignment="1">
      <alignment horizontal="center" vertical="center" wrapText="1"/>
    </xf>
    <xf numFmtId="176" fontId="2" fillId="0" borderId="10" xfId="2" applyNumberFormat="1" applyFont="1" applyFill="1" applyBorder="1" applyAlignment="1" applyProtection="1">
      <alignment horizontal="center" vertical="center" shrinkToFit="1"/>
      <protection locked="0"/>
    </xf>
    <xf numFmtId="176" fontId="4" fillId="0" borderId="10" xfId="2" applyNumberFormat="1" applyFont="1" applyFill="1" applyBorder="1" applyAlignment="1" applyProtection="1">
      <alignment horizontal="center" vertical="center" shrinkToFit="1"/>
      <protection locked="0"/>
    </xf>
    <xf numFmtId="3" fontId="2" fillId="0" borderId="10" xfId="7" quotePrefix="1" applyNumberFormat="1" applyFont="1" applyFill="1" applyBorder="1" applyAlignment="1">
      <alignment horizontal="center" vertical="center"/>
    </xf>
    <xf numFmtId="41" fontId="2" fillId="0" borderId="12" xfId="1" quotePrefix="1" applyFont="1" applyFill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176" fontId="4" fillId="0" borderId="3" xfId="2" applyNumberFormat="1" applyFont="1" applyFill="1" applyBorder="1" applyAlignment="1" applyProtection="1">
      <alignment horizontal="center" vertical="center" shrinkToFit="1"/>
      <protection locked="0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0" fontId="2" fillId="5" borderId="5" xfId="4" applyFont="1" applyFill="1" applyBorder="1" applyAlignment="1">
      <alignment horizontal="center" vertical="center"/>
    </xf>
    <xf numFmtId="176" fontId="2" fillId="5" borderId="5" xfId="4" applyNumberFormat="1" applyFont="1" applyFill="1" applyBorder="1" applyAlignment="1">
      <alignment horizontal="center" vertical="center"/>
    </xf>
    <xf numFmtId="20" fontId="2" fillId="5" borderId="5" xfId="4" applyNumberFormat="1" applyFont="1" applyFill="1" applyBorder="1" applyAlignment="1">
      <alignment horizontal="center" vertical="center" wrapText="1"/>
    </xf>
    <xf numFmtId="0" fontId="2" fillId="5" borderId="5" xfId="4" applyFont="1" applyFill="1" applyBorder="1" applyAlignment="1">
      <alignment horizontal="center" vertical="center" wrapText="1"/>
    </xf>
    <xf numFmtId="176" fontId="2" fillId="5" borderId="5" xfId="2" applyNumberFormat="1" applyFont="1" applyFill="1" applyBorder="1" applyAlignment="1" applyProtection="1">
      <alignment horizontal="center" vertical="center" shrinkToFit="1"/>
      <protection locked="0"/>
    </xf>
    <xf numFmtId="176" fontId="4" fillId="5" borderId="5" xfId="2" applyNumberFormat="1" applyFont="1" applyFill="1" applyBorder="1" applyAlignment="1" applyProtection="1">
      <alignment horizontal="center" vertical="center" shrinkToFit="1"/>
      <protection locked="0"/>
    </xf>
    <xf numFmtId="41" fontId="2" fillId="5" borderId="5" xfId="1" quotePrefix="1" applyFont="1" applyFill="1" applyBorder="1" applyAlignment="1">
      <alignment vertical="center"/>
    </xf>
    <xf numFmtId="41" fontId="2" fillId="5" borderId="7" xfId="1" quotePrefix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3" xfId="4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 wrapText="1"/>
    </xf>
    <xf numFmtId="176" fontId="2" fillId="5" borderId="3" xfId="4" applyNumberFormat="1" applyFont="1" applyFill="1" applyBorder="1" applyAlignment="1">
      <alignment horizontal="center" vertical="center"/>
    </xf>
    <xf numFmtId="20" fontId="2" fillId="5" borderId="1" xfId="4" applyNumberFormat="1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176" fontId="2" fillId="5" borderId="1" xfId="2" applyNumberFormat="1" applyFont="1" applyFill="1" applyBorder="1" applyAlignment="1" applyProtection="1">
      <alignment horizontal="center" vertical="center" shrinkToFit="1"/>
      <protection locked="0"/>
    </xf>
    <xf numFmtId="176" fontId="4" fillId="5" borderId="1" xfId="2" applyNumberFormat="1" applyFont="1" applyFill="1" applyBorder="1" applyAlignment="1" applyProtection="1">
      <alignment horizontal="center" vertical="center" shrinkToFit="1"/>
      <protection locked="0"/>
    </xf>
    <xf numFmtId="41" fontId="2" fillId="5" borderId="3" xfId="1" quotePrefix="1" applyFont="1" applyFill="1" applyBorder="1" applyAlignment="1">
      <alignment vertical="center"/>
    </xf>
    <xf numFmtId="41" fontId="2" fillId="5" borderId="13" xfId="1" quotePrefix="1" applyFont="1" applyFill="1" applyBorder="1" applyAlignment="1">
      <alignment vertical="center"/>
    </xf>
    <xf numFmtId="20" fontId="2" fillId="5" borderId="3" xfId="3" applyNumberFormat="1" applyFont="1" applyFill="1" applyBorder="1" applyAlignment="1">
      <alignment horizontal="center" vertical="center" wrapText="1"/>
    </xf>
    <xf numFmtId="20" fontId="2" fillId="5" borderId="1" xfId="3" applyNumberFormat="1" applyFont="1" applyFill="1" applyBorder="1" applyAlignment="1">
      <alignment horizontal="center" vertical="center" wrapText="1"/>
    </xf>
    <xf numFmtId="41" fontId="2" fillId="5" borderId="3" xfId="3" applyNumberFormat="1" applyFont="1" applyFill="1" applyBorder="1" applyAlignment="1">
      <alignment horizontal="center" vertical="center" wrapText="1"/>
    </xf>
    <xf numFmtId="41" fontId="2" fillId="5" borderId="13" xfId="3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14" fontId="2" fillId="5" borderId="15" xfId="0" applyNumberFormat="1" applyFont="1" applyFill="1" applyBorder="1" applyAlignment="1">
      <alignment horizontal="center" vertical="center" wrapText="1"/>
    </xf>
    <xf numFmtId="20" fontId="2" fillId="5" borderId="15" xfId="3" applyNumberFormat="1" applyFont="1" applyFill="1" applyBorder="1" applyAlignment="1">
      <alignment horizontal="center" vertical="center" wrapText="1"/>
    </xf>
    <xf numFmtId="176" fontId="4" fillId="5" borderId="15" xfId="2" applyNumberFormat="1" applyFont="1" applyFill="1" applyBorder="1" applyAlignment="1" applyProtection="1">
      <alignment horizontal="center" vertical="center" shrinkToFit="1"/>
      <protection locked="0"/>
    </xf>
    <xf numFmtId="0" fontId="2" fillId="5" borderId="3" xfId="0" applyFont="1" applyFill="1" applyBorder="1" applyAlignment="1">
      <alignment horizontal="center" vertical="center" wrapText="1"/>
    </xf>
    <xf numFmtId="176" fontId="2" fillId="5" borderId="3" xfId="4" applyNumberFormat="1" applyFont="1" applyFill="1" applyBorder="1" applyAlignment="1">
      <alignment horizontal="center"/>
    </xf>
    <xf numFmtId="41" fontId="2" fillId="5" borderId="3" xfId="1" applyFont="1" applyFill="1" applyBorder="1" applyAlignment="1" applyProtection="1">
      <alignment horizontal="center" vertical="center" shrinkToFit="1"/>
      <protection locked="0"/>
    </xf>
    <xf numFmtId="0" fontId="2" fillId="0" borderId="12" xfId="4" applyFont="1" applyBorder="1" applyAlignment="1">
      <alignment horizontal="center" vertical="center"/>
    </xf>
    <xf numFmtId="176" fontId="2" fillId="0" borderId="12" xfId="4" applyNumberFormat="1" applyFont="1" applyBorder="1" applyAlignment="1">
      <alignment horizontal="center" vertical="center"/>
    </xf>
    <xf numFmtId="20" fontId="2" fillId="0" borderId="10" xfId="4" applyNumberFormat="1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/>
    </xf>
    <xf numFmtId="176" fontId="2" fillId="5" borderId="5" xfId="4" applyNumberFormat="1" applyFont="1" applyFill="1" applyBorder="1" applyAlignment="1">
      <alignment horizontal="center"/>
    </xf>
    <xf numFmtId="20" fontId="2" fillId="5" borderId="5" xfId="3" applyNumberFormat="1" applyFont="1" applyFill="1" applyBorder="1" applyAlignment="1">
      <alignment horizontal="center" vertical="center" wrapText="1"/>
    </xf>
    <xf numFmtId="41" fontId="2" fillId="5" borderId="5" xfId="1" applyFont="1" applyFill="1" applyBorder="1" applyAlignment="1" applyProtection="1">
      <alignment horizontal="center" vertical="center" shrinkToFit="1"/>
      <protection locked="0"/>
    </xf>
    <xf numFmtId="41" fontId="2" fillId="5" borderId="7" xfId="1" applyFont="1" applyFill="1" applyBorder="1" applyAlignment="1">
      <alignment horizontal="center" vertical="center" shrinkToFi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3" applyFont="1" applyFill="1" applyBorder="1" applyAlignment="1">
      <alignment horizontal="center" vertical="center" wrapText="1"/>
    </xf>
    <xf numFmtId="20" fontId="2" fillId="5" borderId="16" xfId="3" applyNumberFormat="1" applyFont="1" applyFill="1" applyBorder="1" applyAlignment="1">
      <alignment horizontal="center" vertical="center" wrapText="1"/>
    </xf>
    <xf numFmtId="176" fontId="2" fillId="5" borderId="15" xfId="2" applyNumberFormat="1" applyFont="1" applyFill="1" applyBorder="1" applyAlignment="1" applyProtection="1">
      <alignment horizontal="center" vertical="center" shrinkToFit="1"/>
      <protection locked="0"/>
    </xf>
    <xf numFmtId="41" fontId="2" fillId="5" borderId="16" xfId="3" applyNumberFormat="1" applyFont="1" applyFill="1" applyBorder="1" applyAlignment="1">
      <alignment horizontal="center" vertical="center" wrapText="1"/>
    </xf>
    <xf numFmtId="41" fontId="2" fillId="5" borderId="17" xfId="3" applyNumberFormat="1" applyFont="1" applyFill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41" fontId="2" fillId="0" borderId="10" xfId="3" applyNumberFormat="1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41" fontId="2" fillId="5" borderId="13" xfId="1" applyFont="1" applyFill="1" applyBorder="1" applyAlignment="1">
      <alignment horizontal="center" vertical="center" shrinkToFit="1"/>
    </xf>
    <xf numFmtId="20" fontId="4" fillId="3" borderId="1" xfId="3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/>
    </xf>
    <xf numFmtId="20" fontId="2" fillId="0" borderId="16" xfId="3" applyNumberFormat="1" applyFont="1" applyBorder="1" applyAlignment="1">
      <alignment horizontal="center" vertical="center" wrapText="1"/>
    </xf>
    <xf numFmtId="20" fontId="2" fillId="0" borderId="15" xfId="3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176" fontId="2" fillId="0" borderId="15" xfId="2" applyNumberFormat="1" applyFont="1" applyFill="1" applyBorder="1" applyAlignment="1" applyProtection="1">
      <alignment horizontal="center" vertical="center" shrinkToFit="1"/>
      <protection locked="0"/>
    </xf>
    <xf numFmtId="176" fontId="4" fillId="0" borderId="15" xfId="2" applyNumberFormat="1" applyFont="1" applyFill="1" applyBorder="1" applyAlignment="1" applyProtection="1">
      <alignment horizontal="center" vertical="center" shrinkToFit="1"/>
      <protection locked="0"/>
    </xf>
    <xf numFmtId="41" fontId="2" fillId="0" borderId="16" xfId="1" quotePrefix="1" applyFont="1" applyFill="1" applyBorder="1" applyAlignment="1">
      <alignment vertical="center"/>
    </xf>
    <xf numFmtId="41" fontId="2" fillId="0" borderId="17" xfId="1" quotePrefix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76" fontId="2" fillId="0" borderId="5" xfId="2" applyNumberFormat="1" applyFont="1" applyFill="1" applyBorder="1" applyAlignment="1" applyProtection="1">
      <alignment horizontal="center" vertical="center" shrinkToFit="1"/>
      <protection locked="0"/>
    </xf>
    <xf numFmtId="0" fontId="9" fillId="3" borderId="1" xfId="3" applyFont="1" applyFill="1" applyBorder="1" applyAlignment="1">
      <alignment horizontal="center" vertical="center"/>
    </xf>
    <xf numFmtId="0" fontId="9" fillId="6" borderId="1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179" fontId="4" fillId="0" borderId="0" xfId="0" applyNumberFormat="1" applyFont="1">
      <alignment vertical="center"/>
    </xf>
    <xf numFmtId="179" fontId="4" fillId="0" borderId="0" xfId="0" applyNumberFormat="1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2" fillId="0" borderId="9" xfId="6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2" fillId="0" borderId="9" xfId="3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2" fillId="0" borderId="9" xfId="2" applyNumberFormat="1" applyFont="1" applyFill="1" applyBorder="1" applyAlignment="1" applyProtection="1">
      <alignment horizontal="center" vertical="center" shrinkToFit="1"/>
      <protection locked="0"/>
    </xf>
    <xf numFmtId="0" fontId="11" fillId="0" borderId="8" xfId="0" applyFont="1" applyBorder="1" applyAlignment="1">
      <alignment horizontal="center" vertical="center" wrapText="1" shrinkToFit="1"/>
    </xf>
    <xf numFmtId="0" fontId="9" fillId="0" borderId="8" xfId="3" applyFont="1" applyBorder="1" applyAlignment="1">
      <alignment horizontal="center" vertical="center" wrapText="1" shrinkToFi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1" xfId="3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9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179" fontId="4" fillId="0" borderId="5" xfId="3" applyNumberFormat="1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20" fontId="4" fillId="0" borderId="9" xfId="3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2" fillId="2" borderId="10" xfId="4" applyFont="1" applyFill="1" applyBorder="1" applyAlignment="1">
      <alignment horizontal="center" vertical="center"/>
    </xf>
    <xf numFmtId="179" fontId="4" fillId="0" borderId="10" xfId="0" applyNumberFormat="1" applyFont="1" applyBorder="1" applyAlignment="1">
      <alignment horizontal="center" vertical="center"/>
    </xf>
    <xf numFmtId="0" fontId="2" fillId="0" borderId="10" xfId="6" applyFont="1" applyBorder="1" applyAlignment="1">
      <alignment horizontal="center" vertical="center"/>
    </xf>
    <xf numFmtId="0" fontId="2" fillId="0" borderId="20" xfId="6" applyFont="1" applyBorder="1" applyAlignment="1">
      <alignment horizontal="center" vertical="center"/>
    </xf>
    <xf numFmtId="0" fontId="17" fillId="0" borderId="0" xfId="0" applyFont="1">
      <alignment vertical="center"/>
    </xf>
    <xf numFmtId="0" fontId="9" fillId="0" borderId="21" xfId="3" applyFont="1" applyBorder="1" applyAlignment="1">
      <alignment horizontal="center" vertical="center" wrapText="1" shrinkToFit="1"/>
    </xf>
    <xf numFmtId="0" fontId="2" fillId="2" borderId="1" xfId="6" applyFont="1" applyFill="1" applyBorder="1" applyAlignment="1">
      <alignment horizontal="center" vertical="center"/>
    </xf>
    <xf numFmtId="0" fontId="0" fillId="2" borderId="0" xfId="0" applyFill="1">
      <alignment vertical="center"/>
    </xf>
    <xf numFmtId="41" fontId="4" fillId="0" borderId="1" xfId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5" xfId="3" applyFont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41" fontId="4" fillId="0" borderId="10" xfId="1" applyFont="1" applyFill="1" applyBorder="1" applyAlignment="1">
      <alignment horizontal="right" vertical="center"/>
    </xf>
    <xf numFmtId="41" fontId="4" fillId="0" borderId="1" xfId="7" applyFont="1" applyFill="1" applyBorder="1" applyAlignment="1">
      <alignment horizontal="right" vertical="center"/>
    </xf>
    <xf numFmtId="41" fontId="4" fillId="0" borderId="10" xfId="7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  <xf numFmtId="41" fontId="4" fillId="2" borderId="1" xfId="7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20" fontId="2" fillId="2" borderId="9" xfId="3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 wrapText="1"/>
    </xf>
    <xf numFmtId="0" fontId="2" fillId="2" borderId="9" xfId="6" applyFont="1" applyFill="1" applyBorder="1" applyAlignment="1">
      <alignment horizontal="center" vertical="center"/>
    </xf>
    <xf numFmtId="0" fontId="19" fillId="0" borderId="0" xfId="0" applyFont="1">
      <alignment vertical="center"/>
    </xf>
    <xf numFmtId="176" fontId="4" fillId="2" borderId="1" xfId="2" applyNumberFormat="1" applyFont="1" applyFill="1" applyBorder="1" applyAlignment="1" applyProtection="1">
      <alignment horizontal="center" vertical="center" shrinkToFit="1"/>
      <protection locked="0"/>
    </xf>
    <xf numFmtId="0" fontId="18" fillId="0" borderId="0" xfId="3" applyFont="1" applyAlignment="1">
      <alignment horizontal="center" vertical="center"/>
    </xf>
    <xf numFmtId="0" fontId="9" fillId="3" borderId="4" xfId="3" applyFont="1" applyFill="1" applyBorder="1" applyAlignment="1">
      <alignment horizontal="center" vertical="center"/>
    </xf>
    <xf numFmtId="0" fontId="9" fillId="3" borderId="8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/>
    </xf>
    <xf numFmtId="0" fontId="9" fillId="3" borderId="6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9" fillId="3" borderId="7" xfId="3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 wrapText="1" shrinkToFit="1"/>
    </xf>
    <xf numFmtId="0" fontId="9" fillId="0" borderId="19" xfId="3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center" vertical="center" wrapText="1" shrinkToFit="1"/>
    </xf>
    <xf numFmtId="0" fontId="11" fillId="0" borderId="19" xfId="0" applyFont="1" applyBorder="1" applyAlignment="1">
      <alignment horizontal="center" vertical="center" wrapText="1" shrinkToFit="1"/>
    </xf>
    <xf numFmtId="0" fontId="9" fillId="0" borderId="11" xfId="0" applyFont="1" applyBorder="1" applyAlignment="1">
      <alignment horizontal="center" vertical="center" wrapText="1" shrinkToFit="1"/>
    </xf>
    <xf numFmtId="0" fontId="9" fillId="0" borderId="19" xfId="0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1" fillId="0" borderId="19" xfId="0" applyFont="1" applyBorder="1" applyAlignment="1">
      <alignment horizontal="center" vertical="center" shrinkToFit="1"/>
    </xf>
    <xf numFmtId="0" fontId="9" fillId="0" borderId="11" xfId="3" applyFont="1" applyBorder="1" applyAlignment="1">
      <alignment horizontal="center" vertical="center" shrinkToFit="1"/>
    </xf>
    <xf numFmtId="0" fontId="9" fillId="0" borderId="18" xfId="3" applyFont="1" applyBorder="1" applyAlignment="1">
      <alignment horizontal="center" vertical="center" shrinkToFit="1"/>
    </xf>
    <xf numFmtId="0" fontId="9" fillId="0" borderId="19" xfId="3" applyFont="1" applyBorder="1" applyAlignment="1">
      <alignment horizontal="center" vertical="center" shrinkToFit="1"/>
    </xf>
    <xf numFmtId="0" fontId="8" fillId="0" borderId="0" xfId="3" applyFont="1" applyAlignment="1">
      <alignment horizontal="center" vertical="center"/>
    </xf>
    <xf numFmtId="0" fontId="9" fillId="3" borderId="6" xfId="3" applyFont="1" applyFill="1" applyBorder="1" applyAlignment="1">
      <alignment horizontal="center" vertical="center"/>
    </xf>
  </cellXfs>
  <cellStyles count="9">
    <cellStyle name="%" xfId="6" xr:uid="{84EF26AE-2CAC-4031-BBA5-C623D0E00219}"/>
    <cellStyle name="% 2" xfId="5" xr:uid="{729BB352-7B7A-4BBD-AAF4-8D57F4177C0D}"/>
    <cellStyle name="Normal" xfId="3" xr:uid="{DD42B3C3-2863-4ED5-A533-47D41D5C3994}"/>
    <cellStyle name="백분율" xfId="2" builtinId="5"/>
    <cellStyle name="백분율 2" xfId="8" xr:uid="{D7D3610D-F50C-4F73-A7D0-B650D7E0276E}"/>
    <cellStyle name="쉼표 [0]" xfId="1" builtinId="6"/>
    <cellStyle name="쉼표 [0] 2" xfId="7" xr:uid="{9FE7F3D5-9367-4DB1-8698-CDBF0AC9E139}"/>
    <cellStyle name="표준" xfId="0" builtinId="0"/>
    <cellStyle name="표준 2" xfId="4" xr:uid="{948DC215-7BDC-4492-BE26-3C7A7D6CD1D0}"/>
  </cellStyles>
  <dxfs count="451"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  <dxf>
      <fill>
        <patternFill>
          <bgColor theme="0" tint="-0.34998626667073579"/>
        </patternFill>
      </fill>
    </dxf>
    <dxf>
      <font>
        <b val="0"/>
        <i/>
        <strike/>
        <color theme="5" tint="0.59996337778862885"/>
      </font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1C90-3154-46FC-8BAA-96FF3B789574}">
  <sheetPr filterMode="1"/>
  <dimension ref="A1:H61"/>
  <sheetViews>
    <sheetView view="pageBreakPreview" zoomScale="60" zoomScaleNormal="70" workbookViewId="0">
      <pane ySplit="4" topLeftCell="A5" activePane="bottomLeft" state="frozen"/>
      <selection pane="bottomLeft" sqref="A1:H1"/>
    </sheetView>
  </sheetViews>
  <sheetFormatPr defaultRowHeight="17.399999999999999"/>
  <cols>
    <col min="1" max="1" width="59.09765625" style="17" customWidth="1"/>
    <col min="2" max="2" width="42.5" bestFit="1" customWidth="1"/>
    <col min="3" max="3" width="17.8984375" bestFit="1" customWidth="1"/>
    <col min="4" max="4" width="13.19921875" bestFit="1" customWidth="1"/>
    <col min="5" max="7" width="15.3984375" bestFit="1" customWidth="1"/>
    <col min="8" max="8" width="19.3984375" bestFit="1" customWidth="1"/>
  </cols>
  <sheetData>
    <row r="1" spans="1:8" ht="73.5" customHeight="1" thickBot="1">
      <c r="A1" s="222" t="s">
        <v>332</v>
      </c>
      <c r="B1" s="222"/>
      <c r="C1" s="222"/>
      <c r="D1" s="222"/>
      <c r="E1" s="222"/>
      <c r="F1" s="222"/>
      <c r="G1" s="222"/>
      <c r="H1" s="222"/>
    </row>
    <row r="2" spans="1:8" ht="27.6">
      <c r="A2" s="223" t="s">
        <v>195</v>
      </c>
      <c r="B2" s="225" t="s">
        <v>196</v>
      </c>
      <c r="C2" s="227" t="s">
        <v>197</v>
      </c>
      <c r="D2" s="227" t="s">
        <v>198</v>
      </c>
      <c r="E2" s="225" t="s">
        <v>199</v>
      </c>
      <c r="F2" s="225"/>
      <c r="G2" s="225"/>
      <c r="H2" s="229" t="s">
        <v>99</v>
      </c>
    </row>
    <row r="3" spans="1:8" ht="27.6">
      <c r="A3" s="224"/>
      <c r="B3" s="226"/>
      <c r="C3" s="228"/>
      <c r="D3" s="228"/>
      <c r="E3" s="151" t="s">
        <v>200</v>
      </c>
      <c r="F3" s="151" t="s">
        <v>201</v>
      </c>
      <c r="G3" s="151" t="s">
        <v>202</v>
      </c>
      <c r="H3" s="230"/>
    </row>
    <row r="4" spans="1:8" ht="27.6">
      <c r="A4" s="44" t="s">
        <v>247</v>
      </c>
      <c r="B4" s="45" t="s">
        <v>248</v>
      </c>
      <c r="C4" s="45"/>
      <c r="D4" s="45"/>
      <c r="E4" s="45">
        <f>SUM(E5:E59)</f>
        <v>321</v>
      </c>
      <c r="F4" s="45">
        <f>SUM(F5:F59)</f>
        <v>122</v>
      </c>
      <c r="G4" s="45">
        <f>SUM(G5:G59)</f>
        <v>199</v>
      </c>
      <c r="H4" s="46"/>
    </row>
    <row r="5" spans="1:8" ht="27.6">
      <c r="A5" s="174" t="s">
        <v>232</v>
      </c>
      <c r="B5" s="48" t="s">
        <v>212</v>
      </c>
      <c r="C5" s="49">
        <v>114261</v>
      </c>
      <c r="D5" s="49">
        <v>3617</v>
      </c>
      <c r="E5" s="152">
        <f t="shared" ref="E5:E59" si="0">SUM(F5:G5)</f>
        <v>3</v>
      </c>
      <c r="F5" s="50">
        <f>COUNTIF('제주항(JEJU)'!$C$2:$C$188,총괄!B5)</f>
        <v>0</v>
      </c>
      <c r="G5" s="153">
        <f>COUNTIF('서귀포(SEOGWIPO)'!$C$2:$C$523,총괄!B5)</f>
        <v>3</v>
      </c>
      <c r="H5" s="51"/>
    </row>
    <row r="6" spans="1:8" ht="27.6" hidden="1">
      <c r="A6" s="233" t="s">
        <v>231</v>
      </c>
      <c r="B6" s="185" t="s">
        <v>167</v>
      </c>
      <c r="C6" s="49">
        <v>50444</v>
      </c>
      <c r="D6" s="49">
        <v>960</v>
      </c>
      <c r="E6" s="152">
        <f t="shared" si="0"/>
        <v>0</v>
      </c>
      <c r="F6" s="50">
        <f>COUNTIF('제주항(JEJU)'!$C$2:$C$119,총괄!B6)</f>
        <v>0</v>
      </c>
      <c r="G6" s="153">
        <f>COUNTIF('서귀포(SEOGWIPO)'!$C$2:$C$523,총괄!B6)</f>
        <v>0</v>
      </c>
      <c r="H6" s="51"/>
    </row>
    <row r="7" spans="1:8" ht="27.6" hidden="1">
      <c r="A7" s="234"/>
      <c r="B7" s="185" t="s">
        <v>204</v>
      </c>
      <c r="C7" s="49">
        <v>50444</v>
      </c>
      <c r="D7" s="49">
        <v>960</v>
      </c>
      <c r="E7" s="152">
        <f t="shared" si="0"/>
        <v>0</v>
      </c>
      <c r="F7" s="50">
        <f>COUNTIF('제주항(JEJU)'!$C$2:$C$119,총괄!B7)</f>
        <v>0</v>
      </c>
      <c r="G7" s="153">
        <f>COUNTIF('서귀포(SEOGWIPO)'!$C$2:$C$523,총괄!B7)</f>
        <v>0</v>
      </c>
      <c r="H7" s="51"/>
    </row>
    <row r="8" spans="1:8" ht="27.6" hidden="1">
      <c r="A8" s="174" t="s">
        <v>233</v>
      </c>
      <c r="B8" s="48" t="s">
        <v>24</v>
      </c>
      <c r="C8" s="49">
        <v>71304</v>
      </c>
      <c r="D8" s="49">
        <v>2964</v>
      </c>
      <c r="E8" s="152">
        <f t="shared" si="0"/>
        <v>0</v>
      </c>
      <c r="F8" s="50">
        <f>COUNTIF('제주항(JEJU)'!$C$2:$C$119,총괄!B8)</f>
        <v>0</v>
      </c>
      <c r="G8" s="153">
        <f>COUNTIF('서귀포(SEOGWIPO)'!$C$2:$C$523,총괄!B8)</f>
        <v>0</v>
      </c>
      <c r="H8" s="51"/>
    </row>
    <row r="9" spans="1:8" ht="27.6">
      <c r="A9" s="47" t="s">
        <v>234</v>
      </c>
      <c r="B9" s="52" t="s">
        <v>226</v>
      </c>
      <c r="C9" s="53">
        <v>115906</v>
      </c>
      <c r="D9" s="53">
        <v>3247</v>
      </c>
      <c r="E9" s="152">
        <f t="shared" si="0"/>
        <v>2</v>
      </c>
      <c r="F9" s="50">
        <f>COUNTIF('제주항(JEJU)'!$C$2:$C$188,총괄!B9)</f>
        <v>0</v>
      </c>
      <c r="G9" s="153">
        <f>COUNTIF('서귀포(SEOGWIPO)'!$C$2:$C$523,총괄!B9)</f>
        <v>2</v>
      </c>
      <c r="H9" s="51"/>
    </row>
    <row r="10" spans="1:8" ht="27.6">
      <c r="A10" s="54" t="s">
        <v>246</v>
      </c>
      <c r="B10" s="186" t="s">
        <v>130</v>
      </c>
      <c r="C10" s="56">
        <v>90963</v>
      </c>
      <c r="D10" s="56">
        <v>2590</v>
      </c>
      <c r="E10" s="152">
        <f t="shared" si="0"/>
        <v>5</v>
      </c>
      <c r="F10" s="50">
        <f>COUNTIF('제주항(JEJU)'!$C$2:$C$188,총괄!B10)</f>
        <v>5</v>
      </c>
      <c r="G10" s="153">
        <f>COUNTIF('서귀포(SEOGWIPO)'!$C$2:$C$523,총괄!B10)</f>
        <v>0</v>
      </c>
      <c r="H10" s="51"/>
    </row>
    <row r="11" spans="1:8" ht="27.6" hidden="1">
      <c r="A11" s="54" t="s">
        <v>235</v>
      </c>
      <c r="B11" s="55" t="s">
        <v>74</v>
      </c>
      <c r="C11" s="56">
        <v>90901</v>
      </c>
      <c r="D11" s="56">
        <v>2092</v>
      </c>
      <c r="E11" s="152">
        <f t="shared" si="0"/>
        <v>0</v>
      </c>
      <c r="F11" s="50">
        <f>COUNTIF('제주항(JEJU)'!$C$2:$C$119,총괄!B11)</f>
        <v>0</v>
      </c>
      <c r="G11" s="153">
        <f>COUNTIF('서귀포(SEOGWIPO)'!$C$2:$C$523,총괄!B11)</f>
        <v>0</v>
      </c>
      <c r="H11" s="51"/>
    </row>
    <row r="12" spans="1:8" ht="27.6" hidden="1">
      <c r="A12" s="175" t="s">
        <v>208</v>
      </c>
      <c r="B12" s="55" t="s">
        <v>207</v>
      </c>
      <c r="C12" s="56">
        <v>26594</v>
      </c>
      <c r="D12" s="56">
        <v>720</v>
      </c>
      <c r="E12" s="152">
        <f t="shared" si="0"/>
        <v>0</v>
      </c>
      <c r="F12" s="50">
        <f>COUNTIF('제주항(JEJU)'!$C$2:$C$119,총괄!B12)</f>
        <v>0</v>
      </c>
      <c r="G12" s="153">
        <f>COUNTIF('서귀포(SEOGWIPO)'!$C$2:$C$523,총괄!B12)</f>
        <v>0</v>
      </c>
      <c r="H12" s="51"/>
    </row>
    <row r="13" spans="1:8" ht="27.6">
      <c r="A13" s="235" t="s">
        <v>158</v>
      </c>
      <c r="B13" s="186" t="s">
        <v>138</v>
      </c>
      <c r="C13" s="56">
        <v>30277</v>
      </c>
      <c r="D13" s="56">
        <v>803</v>
      </c>
      <c r="E13" s="152">
        <f t="shared" si="0"/>
        <v>2</v>
      </c>
      <c r="F13" s="50">
        <f>COUNTIF('제주항(JEJU)'!$C$2:$C$188,총괄!B13)</f>
        <v>2</v>
      </c>
      <c r="G13" s="153">
        <f>COUNTIF('서귀포(SEOGWIPO)'!$C$2:$C$523,총괄!B13)</f>
        <v>0</v>
      </c>
      <c r="H13" s="51"/>
    </row>
    <row r="14" spans="1:8" ht="27.6" hidden="1">
      <c r="A14" s="236"/>
      <c r="B14" s="186" t="s">
        <v>222</v>
      </c>
      <c r="C14" s="56">
        <v>30277</v>
      </c>
      <c r="D14" s="56">
        <v>803</v>
      </c>
      <c r="E14" s="152">
        <f t="shared" si="0"/>
        <v>0</v>
      </c>
      <c r="F14" s="50">
        <f>COUNTIF('제주항(JEJU)'!$C$2:$C$188,총괄!B14)</f>
        <v>0</v>
      </c>
      <c r="G14" s="153">
        <f>COUNTIF('서귀포(SEOGWIPO)'!$C$2:$C$523,총괄!B14)</f>
        <v>0</v>
      </c>
      <c r="H14" s="51"/>
    </row>
    <row r="15" spans="1:8" ht="27.6" hidden="1">
      <c r="A15" s="176" t="s">
        <v>157</v>
      </c>
      <c r="B15" s="55" t="s">
        <v>31</v>
      </c>
      <c r="C15" s="56">
        <v>55254</v>
      </c>
      <c r="D15" s="56">
        <v>829</v>
      </c>
      <c r="E15" s="152">
        <f t="shared" si="0"/>
        <v>0</v>
      </c>
      <c r="F15" s="50">
        <f>COUNTIF('제주항(JEJU)'!$C$2:$C$119,총괄!B15)</f>
        <v>0</v>
      </c>
      <c r="G15" s="153">
        <f>COUNTIF('서귀포(SEOGWIPO)'!$C$2:$C$523,총괄!B15)</f>
        <v>0</v>
      </c>
      <c r="H15" s="51"/>
    </row>
    <row r="16" spans="1:8" ht="27.6" hidden="1">
      <c r="A16" s="176" t="s">
        <v>152</v>
      </c>
      <c r="B16" s="55" t="s">
        <v>133</v>
      </c>
      <c r="C16" s="56">
        <v>82897</v>
      </c>
      <c r="D16" s="56">
        <v>2380</v>
      </c>
      <c r="E16" s="152">
        <f t="shared" si="0"/>
        <v>0</v>
      </c>
      <c r="F16" s="50">
        <f>COUNTIF('제주항(JEJU)'!$C$2:$C$119,총괄!B16)</f>
        <v>0</v>
      </c>
      <c r="G16" s="153">
        <f>COUNTIF('서귀포(SEOGWIPO)'!$C$2:$C$523,총괄!B16)</f>
        <v>0</v>
      </c>
      <c r="H16" s="58"/>
    </row>
    <row r="17" spans="1:8" ht="27.6" hidden="1">
      <c r="A17" s="176" t="s">
        <v>156</v>
      </c>
      <c r="B17" s="186" t="s">
        <v>62</v>
      </c>
      <c r="C17" s="56">
        <v>98811</v>
      </c>
      <c r="D17" s="56">
        <v>2794</v>
      </c>
      <c r="E17" s="152">
        <f t="shared" si="0"/>
        <v>0</v>
      </c>
      <c r="F17" s="50">
        <f>COUNTIF('제주항(JEJU)'!$C$2:$C$119,총괄!B17)</f>
        <v>0</v>
      </c>
      <c r="G17" s="153">
        <f>COUNTIF('서귀포(SEOGWIPO)'!$C$2:$C$523,총괄!B17)</f>
        <v>0</v>
      </c>
      <c r="H17" s="58"/>
    </row>
    <row r="18" spans="1:8" ht="27.6">
      <c r="A18" s="176" t="s">
        <v>152</v>
      </c>
      <c r="B18" s="55" t="s">
        <v>301</v>
      </c>
      <c r="C18" s="56">
        <v>97720</v>
      </c>
      <c r="D18" s="56">
        <v>2712</v>
      </c>
      <c r="E18" s="152">
        <f t="shared" si="0"/>
        <v>1</v>
      </c>
      <c r="F18" s="50">
        <f>COUNTIF('제주항(JEJU)'!$C$2:$C$188,총괄!B18)</f>
        <v>0</v>
      </c>
      <c r="G18" s="153">
        <f>COUNTIF('서귀포(SEOGWIPO)'!$C$2:$C$523,총괄!B18)</f>
        <v>1</v>
      </c>
      <c r="H18" s="58"/>
    </row>
    <row r="19" spans="1:8" ht="27.6">
      <c r="A19" s="176" t="s">
        <v>270</v>
      </c>
      <c r="B19" s="186" t="s">
        <v>35</v>
      </c>
      <c r="C19" s="56">
        <v>51068</v>
      </c>
      <c r="D19" s="56">
        <v>606</v>
      </c>
      <c r="E19" s="152">
        <f t="shared" si="0"/>
        <v>4</v>
      </c>
      <c r="F19" s="50">
        <f>COUNTIF('제주항(JEJU)'!$C$2:$C$188,총괄!B19)</f>
        <v>4</v>
      </c>
      <c r="G19" s="153">
        <f>COUNTIF('서귀포(SEOGWIPO)'!$C$2:$C$523,총괄!B19)</f>
        <v>0</v>
      </c>
      <c r="H19" s="58"/>
    </row>
    <row r="20" spans="1:8" ht="27.6">
      <c r="A20" s="176" t="s">
        <v>245</v>
      </c>
      <c r="B20" s="186" t="s">
        <v>291</v>
      </c>
      <c r="C20" s="56">
        <v>43524</v>
      </c>
      <c r="D20" s="56">
        <v>200</v>
      </c>
      <c r="E20" s="152">
        <f t="shared" si="0"/>
        <v>1</v>
      </c>
      <c r="F20" s="50">
        <f>COUNTIF('제주항(JEJU)'!$C$2:$C$188,총괄!B20)</f>
        <v>1</v>
      </c>
      <c r="G20" s="153">
        <f>COUNTIF('서귀포(SEOGWIPO)'!$C$2:$C$523,총괄!B20)</f>
        <v>0</v>
      </c>
      <c r="H20" s="58"/>
    </row>
    <row r="21" spans="1:8" ht="27.6" hidden="1">
      <c r="A21" s="176" t="s">
        <v>211</v>
      </c>
      <c r="B21" s="55" t="s">
        <v>210</v>
      </c>
      <c r="C21" s="56">
        <v>77441</v>
      </c>
      <c r="D21" s="56">
        <v>2271</v>
      </c>
      <c r="E21" s="152">
        <f t="shared" si="0"/>
        <v>0</v>
      </c>
      <c r="F21" s="50">
        <f>COUNTIF('제주항(JEJU)'!$C$2:$C$119,총괄!B21)</f>
        <v>0</v>
      </c>
      <c r="G21" s="153">
        <f>COUNTIF('서귀포(SEOGWIPO)'!$C$2:$C$523,총괄!B21)</f>
        <v>0</v>
      </c>
      <c r="H21" s="58"/>
    </row>
    <row r="22" spans="1:8" ht="27.6">
      <c r="A22" s="57" t="s">
        <v>236</v>
      </c>
      <c r="B22" s="186" t="s">
        <v>294</v>
      </c>
      <c r="C22" s="56">
        <v>82862</v>
      </c>
      <c r="D22" s="56">
        <v>2362</v>
      </c>
      <c r="E22" s="152">
        <f t="shared" si="0"/>
        <v>2</v>
      </c>
      <c r="F22" s="50">
        <f>COUNTIF('제주항(JEJU)'!$C$2:$C$188,총괄!B22)</f>
        <v>2</v>
      </c>
      <c r="G22" s="153">
        <f>COUNTIF('서귀포(SEOGWIPO)'!$C$2:$C$523,총괄!B22)</f>
        <v>0</v>
      </c>
      <c r="H22" s="58"/>
    </row>
    <row r="23" spans="1:8" ht="27.6" hidden="1">
      <c r="A23" s="235" t="s">
        <v>206</v>
      </c>
      <c r="B23" s="55" t="s">
        <v>205</v>
      </c>
      <c r="C23" s="56">
        <v>15540</v>
      </c>
      <c r="D23" s="56">
        <v>230</v>
      </c>
      <c r="E23" s="152">
        <f t="shared" si="0"/>
        <v>0</v>
      </c>
      <c r="F23" s="50">
        <f>COUNTIF('제주항(JEJU)'!$C$2:$C$119,총괄!B23)</f>
        <v>0</v>
      </c>
      <c r="G23" s="153">
        <f>COUNTIF('서귀포(SEOGWIPO)'!$C$2:$C$523,총괄!B23)</f>
        <v>0</v>
      </c>
      <c r="H23" s="58"/>
    </row>
    <row r="24" spans="1:8" ht="27.6" hidden="1">
      <c r="A24" s="236"/>
      <c r="B24" s="55" t="s">
        <v>110</v>
      </c>
      <c r="C24" s="56">
        <v>42830</v>
      </c>
      <c r="D24" s="56">
        <v>706</v>
      </c>
      <c r="E24" s="152">
        <f t="shared" si="0"/>
        <v>0</v>
      </c>
      <c r="F24" s="50">
        <f>COUNTIF('제주항(JEJU)'!$C$2:$C$119,총괄!B24)</f>
        <v>0</v>
      </c>
      <c r="G24" s="153">
        <f>COUNTIF('서귀포(SEOGWIPO)'!$C$2:$C$523,총괄!B24)</f>
        <v>0</v>
      </c>
      <c r="H24" s="58"/>
    </row>
    <row r="25" spans="1:8" ht="27.6" hidden="1">
      <c r="A25" s="175" t="s">
        <v>209</v>
      </c>
      <c r="B25" s="55" t="s">
        <v>249</v>
      </c>
      <c r="C25" s="56">
        <v>24344</v>
      </c>
      <c r="D25" s="56">
        <v>970</v>
      </c>
      <c r="E25" s="152">
        <f t="shared" si="0"/>
        <v>0</v>
      </c>
      <c r="F25" s="50">
        <f>COUNTIF('제주항(JEJU)'!$C$2:$C$119,총괄!B25)</f>
        <v>0</v>
      </c>
      <c r="G25" s="153">
        <f>COUNTIF('서귀포(SEOGWIPO)'!$C$2:$C$523,총괄!B25)</f>
        <v>0</v>
      </c>
      <c r="H25" s="58"/>
    </row>
    <row r="26" spans="1:8" ht="27.6">
      <c r="A26" s="176" t="s">
        <v>108</v>
      </c>
      <c r="B26" s="52" t="s">
        <v>308</v>
      </c>
      <c r="C26" s="53">
        <v>171598</v>
      </c>
      <c r="D26" s="53">
        <v>5686</v>
      </c>
      <c r="E26" s="152">
        <f t="shared" si="0"/>
        <v>28</v>
      </c>
      <c r="F26" s="50">
        <f>COUNTIF('제주항(JEJU)'!$C$2:$C$188,총괄!B26)</f>
        <v>0</v>
      </c>
      <c r="G26" s="153">
        <f>COUNTIF('서귀포(SEOGWIPO)'!$C$2:$C$523,총괄!B26)</f>
        <v>28</v>
      </c>
      <c r="H26" s="58"/>
    </row>
    <row r="27" spans="1:8" ht="27.6" hidden="1">
      <c r="A27" s="240" t="s">
        <v>153</v>
      </c>
      <c r="B27" s="59" t="s">
        <v>91</v>
      </c>
      <c r="C27" s="56">
        <v>5602</v>
      </c>
      <c r="D27" s="56">
        <v>120</v>
      </c>
      <c r="E27" s="152">
        <f t="shared" si="0"/>
        <v>0</v>
      </c>
      <c r="F27" s="50">
        <f>COUNTIF('제주항(JEJU)'!$C$2:$C$119,총괄!B27)</f>
        <v>0</v>
      </c>
      <c r="G27" s="153">
        <f>COUNTIF('서귀포(SEOGWIPO)'!$C$2:$C$523,총괄!B27)</f>
        <v>0</v>
      </c>
      <c r="H27" s="58"/>
    </row>
    <row r="28" spans="1:8" ht="27.6">
      <c r="A28" s="242"/>
      <c r="B28" s="59" t="s">
        <v>318</v>
      </c>
      <c r="C28" s="56">
        <v>91627</v>
      </c>
      <c r="D28" s="56">
        <v>2390</v>
      </c>
      <c r="E28" s="152">
        <f t="shared" si="0"/>
        <v>1</v>
      </c>
      <c r="F28" s="50">
        <f>COUNTIF('제주항(JEJU)'!$C$2:$C$188,총괄!B28)</f>
        <v>0</v>
      </c>
      <c r="G28" s="153">
        <f>COUNTIF('서귀포(SEOGWIPO)'!$C$2:$C$523,총괄!B28)</f>
        <v>1</v>
      </c>
      <c r="H28" s="58"/>
    </row>
    <row r="29" spans="1:8" ht="27.6">
      <c r="A29" s="237" t="s">
        <v>237</v>
      </c>
      <c r="B29" s="187" t="s">
        <v>32</v>
      </c>
      <c r="C29" s="53">
        <v>22472</v>
      </c>
      <c r="D29" s="53">
        <v>607</v>
      </c>
      <c r="E29" s="152">
        <f t="shared" si="0"/>
        <v>1</v>
      </c>
      <c r="F29" s="50">
        <f>COUNTIF('제주항(JEJU)'!$C$2:$C$188,총괄!B29)</f>
        <v>1</v>
      </c>
      <c r="G29" s="153">
        <f>COUNTIF('서귀포(SEOGWIPO)'!$C$2:$C$523,총괄!B29)</f>
        <v>0</v>
      </c>
      <c r="H29" s="58"/>
    </row>
    <row r="30" spans="1:8" ht="27.6">
      <c r="A30" s="239"/>
      <c r="B30" s="187" t="s">
        <v>317</v>
      </c>
      <c r="C30" s="53">
        <v>32477</v>
      </c>
      <c r="D30" s="53">
        <v>540</v>
      </c>
      <c r="E30" s="152">
        <f t="shared" si="0"/>
        <v>6</v>
      </c>
      <c r="F30" s="50">
        <f>COUNTIF('제주항(JEJU)'!$C$2:$C$188,총괄!B30)</f>
        <v>6</v>
      </c>
      <c r="G30" s="153">
        <f>COUNTIF('서귀포(SEOGWIPO)'!$C$2:$C$523,총괄!B30)</f>
        <v>0</v>
      </c>
      <c r="H30" s="58"/>
    </row>
    <row r="31" spans="1:8" ht="27.6" hidden="1">
      <c r="A31" s="237" t="s">
        <v>238</v>
      </c>
      <c r="B31" s="52" t="s">
        <v>132</v>
      </c>
      <c r="C31" s="53">
        <v>77104</v>
      </c>
      <c r="D31" s="53">
        <v>2405</v>
      </c>
      <c r="E31" s="152">
        <f t="shared" si="0"/>
        <v>0</v>
      </c>
      <c r="F31" s="50">
        <f>COUNTIF('제주항(JEJU)'!$C$2:$C$119,총괄!B31)</f>
        <v>0</v>
      </c>
      <c r="G31" s="153">
        <f>COUNTIF('서귀포(SEOGWIPO)'!$C$2:$C$523,총괄!B31)</f>
        <v>0</v>
      </c>
      <c r="H31" s="58"/>
    </row>
    <row r="32" spans="1:8" ht="27.6" hidden="1">
      <c r="A32" s="238"/>
      <c r="B32" s="52" t="s">
        <v>114</v>
      </c>
      <c r="C32" s="53">
        <v>75904</v>
      </c>
      <c r="D32" s="53">
        <v>2414</v>
      </c>
      <c r="E32" s="152">
        <f t="shared" si="0"/>
        <v>0</v>
      </c>
      <c r="F32" s="50">
        <f>COUNTIF('제주항(JEJU)'!$C$2:$C$119,총괄!B32)</f>
        <v>0</v>
      </c>
      <c r="G32" s="153">
        <f>COUNTIF('서귀포(SEOGWIPO)'!$C$2:$C$523,총괄!B32)</f>
        <v>0</v>
      </c>
      <c r="H32" s="58"/>
    </row>
    <row r="33" spans="1:8" ht="27.6">
      <c r="A33" s="238"/>
      <c r="B33" s="187" t="s">
        <v>295</v>
      </c>
      <c r="C33" s="53">
        <v>93558</v>
      </c>
      <c r="D33" s="53">
        <v>2882</v>
      </c>
      <c r="E33" s="152">
        <f t="shared" si="0"/>
        <v>2</v>
      </c>
      <c r="F33" s="50">
        <f>COUNTIF('제주항(JEJU)'!$C$2:$C$188,총괄!B33)</f>
        <v>2</v>
      </c>
      <c r="G33" s="153">
        <f>COUNTIF('서귀포(SEOGWIPO)'!$C$2:$C$523,총괄!B33)</f>
        <v>0</v>
      </c>
      <c r="H33" s="58"/>
    </row>
    <row r="34" spans="1:8" ht="27.6" hidden="1">
      <c r="A34" s="239"/>
      <c r="B34" s="55" t="s">
        <v>139</v>
      </c>
      <c r="C34" s="56">
        <v>78309</v>
      </c>
      <c r="D34" s="56">
        <v>2323</v>
      </c>
      <c r="E34" s="152">
        <f t="shared" si="0"/>
        <v>0</v>
      </c>
      <c r="F34" s="50">
        <f>COUNTIF('제주항(JEJU)'!$C$2:$C$119,총괄!B34)</f>
        <v>0</v>
      </c>
      <c r="G34" s="153">
        <f>COUNTIF('서귀포(SEOGWIPO)'!$C$2:$C$523,총괄!B34)</f>
        <v>0</v>
      </c>
      <c r="H34" s="58"/>
    </row>
    <row r="35" spans="1:8" ht="27.6">
      <c r="A35" s="237" t="s">
        <v>231</v>
      </c>
      <c r="B35" s="55" t="s">
        <v>289</v>
      </c>
      <c r="C35" s="56">
        <v>50444</v>
      </c>
      <c r="D35" s="56">
        <v>960</v>
      </c>
      <c r="E35" s="152">
        <f>SUM(F35:G35)</f>
        <v>1</v>
      </c>
      <c r="F35" s="50">
        <f>COUNTIF('제주항(JEJU)'!$C$2:$C$188,총괄!B35)</f>
        <v>1</v>
      </c>
      <c r="G35" s="153">
        <f>COUNTIF('서귀포(SEOGWIPO)'!$C$2:$C$523,총괄!B35)</f>
        <v>0</v>
      </c>
      <c r="H35" s="58"/>
    </row>
    <row r="36" spans="1:8" ht="27.6">
      <c r="A36" s="239"/>
      <c r="B36" s="55" t="s">
        <v>290</v>
      </c>
      <c r="C36" s="56">
        <v>52183</v>
      </c>
      <c r="D36" s="56">
        <v>744</v>
      </c>
      <c r="E36" s="152">
        <f t="shared" si="0"/>
        <v>2</v>
      </c>
      <c r="F36" s="50">
        <f>COUNTIF('제주항(JEJU)'!$C$2:$C$188,총괄!B36)</f>
        <v>2</v>
      </c>
      <c r="G36" s="153">
        <f>COUNTIF('서귀포(SEOGWIPO)'!$C$2:$C$523,총괄!B36)</f>
        <v>0</v>
      </c>
      <c r="H36" s="58"/>
    </row>
    <row r="37" spans="1:8" ht="27.6">
      <c r="A37" s="240" t="s">
        <v>239</v>
      </c>
      <c r="B37" s="186" t="s">
        <v>51</v>
      </c>
      <c r="C37" s="56">
        <v>40791</v>
      </c>
      <c r="D37" s="56">
        <v>623</v>
      </c>
      <c r="E37" s="152">
        <f t="shared" si="0"/>
        <v>1</v>
      </c>
      <c r="F37" s="50">
        <f>COUNTIF('제주항(JEJU)'!$C$2:$C$188,총괄!B37)</f>
        <v>1</v>
      </c>
      <c r="G37" s="153">
        <f>COUNTIF('서귀포(SEOGWIPO)'!$C$2:$C$523,총괄!B37)</f>
        <v>0</v>
      </c>
      <c r="H37" s="51"/>
    </row>
    <row r="38" spans="1:8" ht="27.6">
      <c r="A38" s="241"/>
      <c r="B38" s="186" t="s">
        <v>292</v>
      </c>
      <c r="C38" s="56">
        <v>40700</v>
      </c>
      <c r="D38" s="56">
        <v>691</v>
      </c>
      <c r="E38" s="152">
        <f t="shared" si="0"/>
        <v>2</v>
      </c>
      <c r="F38" s="50">
        <f>COUNTIF('제주항(JEJU)'!$C$2:$C$188,총괄!B38)</f>
        <v>2</v>
      </c>
      <c r="G38" s="153">
        <f>COUNTIF('서귀포(SEOGWIPO)'!$C$2:$C$523,총괄!B38)</f>
        <v>0</v>
      </c>
      <c r="H38" s="51"/>
    </row>
    <row r="39" spans="1:8" ht="27.6" hidden="1">
      <c r="A39" s="241"/>
      <c r="B39" s="55" t="s">
        <v>137</v>
      </c>
      <c r="C39" s="56">
        <v>22498</v>
      </c>
      <c r="D39" s="56">
        <v>228</v>
      </c>
      <c r="E39" s="152">
        <f t="shared" si="0"/>
        <v>0</v>
      </c>
      <c r="F39" s="50">
        <f>COUNTIF('제주항(JEJU)'!$C$2:$C$119,총괄!B39)</f>
        <v>0</v>
      </c>
      <c r="G39" s="153">
        <f>COUNTIF('서귀포(SEOGWIPO)'!$C$2:$C$523,총괄!B39)</f>
        <v>0</v>
      </c>
      <c r="H39" s="51"/>
    </row>
    <row r="40" spans="1:8" ht="27.6" hidden="1">
      <c r="A40" s="242"/>
      <c r="B40" s="60" t="s">
        <v>136</v>
      </c>
      <c r="C40" s="61">
        <v>28258</v>
      </c>
      <c r="D40" s="61">
        <v>466</v>
      </c>
      <c r="E40" s="152">
        <f t="shared" si="0"/>
        <v>0</v>
      </c>
      <c r="F40" s="50">
        <f>COUNTIF('제주항(JEJU)'!$C$2:$C$119,총괄!B40)</f>
        <v>0</v>
      </c>
      <c r="G40" s="153">
        <f>COUNTIF('서귀포(SEOGWIPO)'!$C$2:$C$523,총괄!B40)</f>
        <v>0</v>
      </c>
      <c r="H40" s="58"/>
    </row>
    <row r="41" spans="1:8" ht="27.6">
      <c r="A41" s="240" t="s">
        <v>240</v>
      </c>
      <c r="B41" s="188" t="s">
        <v>309</v>
      </c>
      <c r="C41" s="61">
        <v>85619</v>
      </c>
      <c r="D41" s="61">
        <v>2680</v>
      </c>
      <c r="E41" s="152">
        <f t="shared" si="0"/>
        <v>32</v>
      </c>
      <c r="F41" s="50">
        <f>COUNTIF('제주항(JEJU)'!$C$2:$C$188,총괄!B41)</f>
        <v>27</v>
      </c>
      <c r="G41" s="153">
        <f>COUNTIF('서귀포(SEOGWIPO)'!$C$2:$C$523,총괄!B41)</f>
        <v>5</v>
      </c>
      <c r="H41" s="51"/>
    </row>
    <row r="42" spans="1:8" ht="27.6">
      <c r="A42" s="241"/>
      <c r="B42" s="60" t="s">
        <v>75</v>
      </c>
      <c r="C42" s="61">
        <v>136201</v>
      </c>
      <c r="D42" s="61">
        <v>5246</v>
      </c>
      <c r="E42" s="152">
        <f t="shared" si="0"/>
        <v>77</v>
      </c>
      <c r="F42" s="50">
        <f>COUNTIF('제주항(JEJU)'!$C$2:$C$188,총괄!B42)</f>
        <v>0</v>
      </c>
      <c r="G42" s="153">
        <f>COUNTIF('서귀포(SEOGWIPO)'!$C$2:$C$523,총괄!B42)</f>
        <v>77</v>
      </c>
      <c r="H42" s="51"/>
    </row>
    <row r="43" spans="1:8" ht="27.6">
      <c r="A43" s="242"/>
      <c r="B43" s="60" t="s">
        <v>327</v>
      </c>
      <c r="C43" s="61">
        <v>141900</v>
      </c>
      <c r="D43" s="61">
        <v>5232</v>
      </c>
      <c r="E43" s="152">
        <f t="shared" si="0"/>
        <v>1</v>
      </c>
      <c r="F43" s="50">
        <f>COUNTIF('제주항(JEJU)'!$C$2:$C$188,총괄!B43)</f>
        <v>0</v>
      </c>
      <c r="G43" s="153">
        <f>COUNTIF('서귀포(SEOGWIPO)'!$C$2:$C$523,총괄!B43)</f>
        <v>1</v>
      </c>
      <c r="H43" s="51"/>
    </row>
    <row r="44" spans="1:8" ht="27.6">
      <c r="A44" s="62" t="s">
        <v>241</v>
      </c>
      <c r="B44" s="188" t="s">
        <v>328</v>
      </c>
      <c r="C44" s="61">
        <v>47842</v>
      </c>
      <c r="D44" s="61">
        <v>928</v>
      </c>
      <c r="E44" s="152">
        <f t="shared" si="0"/>
        <v>1</v>
      </c>
      <c r="F44" s="50">
        <f>COUNTIF('제주항(JEJU)'!$C$2:$C$188,총괄!B44)</f>
        <v>1</v>
      </c>
      <c r="G44" s="153">
        <f>COUNTIF('서귀포(SEOGWIPO)'!$C$2:$C$523,총괄!B44)</f>
        <v>0</v>
      </c>
      <c r="H44" s="154"/>
    </row>
    <row r="45" spans="1:8" ht="27.6">
      <c r="A45" s="240" t="s">
        <v>242</v>
      </c>
      <c r="B45" s="55" t="s">
        <v>307</v>
      </c>
      <c r="C45" s="61">
        <v>169379</v>
      </c>
      <c r="D45" s="61">
        <v>5622</v>
      </c>
      <c r="E45" s="152">
        <f t="shared" si="0"/>
        <v>22</v>
      </c>
      <c r="F45" s="50">
        <f>COUNTIF('제주항(JEJU)'!$C$2:$C$188,총괄!B45)</f>
        <v>0</v>
      </c>
      <c r="G45" s="153">
        <f>COUNTIF('서귀포(SEOGWIPO)'!$C$2:$C$523,총괄!B45)</f>
        <v>22</v>
      </c>
      <c r="H45" s="51"/>
    </row>
    <row r="46" spans="1:8" ht="26.25" hidden="1" customHeight="1">
      <c r="A46" s="241"/>
      <c r="B46" s="55" t="s">
        <v>25</v>
      </c>
      <c r="C46" s="61">
        <v>168666</v>
      </c>
      <c r="D46" s="61">
        <v>4825</v>
      </c>
      <c r="E46" s="152">
        <f t="shared" si="0"/>
        <v>0</v>
      </c>
      <c r="F46" s="50">
        <f>COUNTIF('제주항(JEJU)'!$C$2:$C$119,총괄!B46)</f>
        <v>0</v>
      </c>
      <c r="G46" s="153">
        <f>COUNTIF('서귀포(SEOGWIPO)'!$C$2:$C$523,총괄!B46)</f>
        <v>0</v>
      </c>
      <c r="H46" s="51"/>
    </row>
    <row r="47" spans="1:8" ht="27.6">
      <c r="A47" s="241"/>
      <c r="B47" s="55" t="s">
        <v>302</v>
      </c>
      <c r="C47" s="61">
        <v>139570</v>
      </c>
      <c r="D47" s="61">
        <v>4018</v>
      </c>
      <c r="E47" s="152">
        <f t="shared" si="0"/>
        <v>1</v>
      </c>
      <c r="F47" s="50">
        <f>COUNTIF('제주항(JEJU)'!$C$2:$C$188,총괄!B47)</f>
        <v>0</v>
      </c>
      <c r="G47" s="153">
        <f>COUNTIF('서귀포(SEOGWIPO)'!$C$2:$C$523,총괄!B47)</f>
        <v>1</v>
      </c>
      <c r="H47" s="51"/>
    </row>
    <row r="48" spans="1:8" ht="27.6" hidden="1">
      <c r="A48" s="242"/>
      <c r="B48" s="55" t="s">
        <v>43</v>
      </c>
      <c r="C48" s="61">
        <v>167800</v>
      </c>
      <c r="D48" s="61">
        <v>4825</v>
      </c>
      <c r="E48" s="152">
        <f t="shared" si="0"/>
        <v>0</v>
      </c>
      <c r="F48" s="50">
        <f>COUNTIF('제주항(JEJU)'!$C$2:$C$119,총괄!B48)</f>
        <v>0</v>
      </c>
      <c r="G48" s="153">
        <f>COUNTIF('서귀포(SEOGWIPO)'!$C$2:$C$523,총괄!B48)</f>
        <v>0</v>
      </c>
      <c r="H48" s="51"/>
    </row>
    <row r="49" spans="1:8" ht="27.6">
      <c r="A49" s="177" t="s">
        <v>230</v>
      </c>
      <c r="B49" s="55" t="s">
        <v>331</v>
      </c>
      <c r="C49" s="61">
        <v>46750</v>
      </c>
      <c r="D49" s="61">
        <v>452</v>
      </c>
      <c r="E49" s="152">
        <f t="shared" si="0"/>
        <v>1</v>
      </c>
      <c r="F49" s="50">
        <f>COUNTIF('제주항(JEJU)'!$C$2:$C$188,총괄!B49)</f>
        <v>0</v>
      </c>
      <c r="G49" s="153">
        <f>COUNTIF('서귀포(SEOGWIPO)'!$C$2:$C$523,총괄!B49)</f>
        <v>1</v>
      </c>
      <c r="H49" s="51"/>
    </row>
    <row r="50" spans="1:8" ht="27.6">
      <c r="A50" s="178" t="s">
        <v>253</v>
      </c>
      <c r="B50" s="186" t="s">
        <v>251</v>
      </c>
      <c r="C50" s="61">
        <v>75338</v>
      </c>
      <c r="D50" s="61">
        <v>2800</v>
      </c>
      <c r="E50" s="152">
        <f t="shared" si="0"/>
        <v>5</v>
      </c>
      <c r="F50" s="50">
        <f>COUNTIF('제주항(JEJU)'!$C$2:$C$188,총괄!B50)</f>
        <v>5</v>
      </c>
      <c r="G50" s="153">
        <f>COUNTIF('서귀포(SEOGWIPO)'!$C$2:$C$523,총괄!B50)</f>
        <v>0</v>
      </c>
      <c r="H50" s="51"/>
    </row>
    <row r="51" spans="1:8" ht="27.6">
      <c r="A51" s="177" t="s">
        <v>227</v>
      </c>
      <c r="B51" s="186" t="s">
        <v>316</v>
      </c>
      <c r="C51" s="61">
        <v>15540</v>
      </c>
      <c r="D51" s="61">
        <v>230</v>
      </c>
      <c r="E51" s="152">
        <f t="shared" si="0"/>
        <v>1</v>
      </c>
      <c r="F51" s="50">
        <f>COUNTIF('제주항(JEJU)'!$C$2:$C$188,총괄!B51)</f>
        <v>1</v>
      </c>
      <c r="G51" s="153">
        <f>COUNTIF('서귀포(SEOGWIPO)'!$C$2:$C$523,총괄!B51)</f>
        <v>0</v>
      </c>
      <c r="H51" s="51"/>
    </row>
    <row r="52" spans="1:8" ht="27.6">
      <c r="A52" s="177" t="s">
        <v>229</v>
      </c>
      <c r="B52" s="186" t="s">
        <v>288</v>
      </c>
      <c r="C52" s="61">
        <v>32477</v>
      </c>
      <c r="D52" s="61">
        <v>184</v>
      </c>
      <c r="E52" s="152">
        <f t="shared" si="0"/>
        <v>1</v>
      </c>
      <c r="F52" s="50">
        <f>COUNTIF('제주항(JEJU)'!$C$2:$C$188,총괄!B52)</f>
        <v>1</v>
      </c>
      <c r="G52" s="153">
        <f>COUNTIF('서귀포(SEOGWIPO)'!$C$2:$C$523,총괄!B52)</f>
        <v>0</v>
      </c>
      <c r="H52" s="51"/>
    </row>
    <row r="53" spans="1:8" ht="55.2">
      <c r="A53" s="177" t="s">
        <v>228</v>
      </c>
      <c r="B53" s="186" t="s">
        <v>315</v>
      </c>
      <c r="C53" s="61">
        <v>4200</v>
      </c>
      <c r="D53" s="61">
        <v>118</v>
      </c>
      <c r="E53" s="152">
        <f t="shared" si="0"/>
        <v>1</v>
      </c>
      <c r="F53" s="50">
        <f>COUNTIF('제주항(JEJU)'!$C$2:$C$188,총괄!B53)</f>
        <v>1</v>
      </c>
      <c r="G53" s="153">
        <f>COUNTIF('서귀포(SEOGWIPO)'!$C$2:$C$523,총괄!B53)</f>
        <v>0</v>
      </c>
      <c r="H53" s="51"/>
    </row>
    <row r="54" spans="1:8" ht="27.6" hidden="1">
      <c r="A54" s="62" t="s">
        <v>243</v>
      </c>
      <c r="B54" s="55" t="s">
        <v>314</v>
      </c>
      <c r="C54" s="61">
        <v>69840</v>
      </c>
      <c r="D54" s="61">
        <v>1975</v>
      </c>
      <c r="E54" s="152">
        <f t="shared" si="0"/>
        <v>0</v>
      </c>
      <c r="F54" s="50">
        <f>COUNTIF('제주항(JEJU)'!$C$2:$C$119,총괄!B54)</f>
        <v>0</v>
      </c>
      <c r="G54" s="153">
        <f>COUNTIF('서귀포(SEOGWIPO)'!$C$2:$C$523,총괄!B54)</f>
        <v>0</v>
      </c>
      <c r="H54" s="51"/>
    </row>
    <row r="55" spans="1:8" ht="27.6" hidden="1">
      <c r="A55" s="177" t="s">
        <v>221</v>
      </c>
      <c r="B55" s="55" t="s">
        <v>313</v>
      </c>
      <c r="C55" s="61">
        <v>22129</v>
      </c>
      <c r="D55" s="61">
        <v>321</v>
      </c>
      <c r="E55" s="152">
        <f t="shared" si="0"/>
        <v>0</v>
      </c>
      <c r="F55" s="50">
        <f>COUNTIF('제주항(JEJU)'!$C$2:$C$119,총괄!B55)</f>
        <v>0</v>
      </c>
      <c r="G55" s="153">
        <f>COUNTIF('서귀포(SEOGWIPO)'!$C$2:$C$523,총괄!B55)</f>
        <v>0</v>
      </c>
      <c r="H55" s="51"/>
    </row>
    <row r="56" spans="1:8" ht="27.6" hidden="1">
      <c r="A56" s="202" t="s">
        <v>311</v>
      </c>
      <c r="B56" s="60" t="s">
        <v>310</v>
      </c>
      <c r="C56" s="61">
        <v>24344</v>
      </c>
      <c r="D56" s="61">
        <v>970</v>
      </c>
      <c r="E56" s="152">
        <f t="shared" si="0"/>
        <v>0</v>
      </c>
      <c r="F56" s="50">
        <f>COUNTIF('제주항(JEJU)'!$C$2:$C$188,총괄!B56)</f>
        <v>0</v>
      </c>
      <c r="G56" s="153">
        <f>COUNTIF('서귀포(SEOGWIPO)'!$C$2:$C$523,총괄!B56)</f>
        <v>0</v>
      </c>
      <c r="H56" s="51"/>
    </row>
    <row r="57" spans="1:8" ht="27.6" hidden="1">
      <c r="A57" s="62" t="s">
        <v>244</v>
      </c>
      <c r="B57" s="188" t="s">
        <v>312</v>
      </c>
      <c r="C57" s="61">
        <v>42289</v>
      </c>
      <c r="D57" s="61">
        <v>1582</v>
      </c>
      <c r="E57" s="152">
        <f t="shared" si="0"/>
        <v>0</v>
      </c>
      <c r="F57" s="50">
        <f>COUNTIF('제주항(JEJU)'!$C$2:$C$119,총괄!B57)</f>
        <v>0</v>
      </c>
      <c r="G57" s="153">
        <f>COUNTIF('서귀포(SEOGWIPO)'!$C$2:$C$523,총괄!B57)</f>
        <v>0</v>
      </c>
      <c r="H57" s="51"/>
    </row>
    <row r="58" spans="1:8" ht="27.6">
      <c r="A58" s="231" t="s">
        <v>250</v>
      </c>
      <c r="B58" s="188" t="s">
        <v>326</v>
      </c>
      <c r="C58" s="61">
        <v>102784</v>
      </c>
      <c r="D58" s="61">
        <v>3470</v>
      </c>
      <c r="E58" s="152">
        <f t="shared" si="0"/>
        <v>49</v>
      </c>
      <c r="F58" s="50">
        <f>COUNTIF('제주항(JEJU)'!$C$2:$C$188,총괄!B58)</f>
        <v>2</v>
      </c>
      <c r="G58" s="153">
        <f>COUNTIF('서귀포(SEOGWIPO)'!$C$2:$C$523,총괄!B58)</f>
        <v>47</v>
      </c>
      <c r="H58" s="51"/>
    </row>
    <row r="59" spans="1:8" ht="27.6">
      <c r="A59" s="232"/>
      <c r="B59" s="186" t="s">
        <v>306</v>
      </c>
      <c r="C59" s="56">
        <v>77499</v>
      </c>
      <c r="D59" s="56">
        <v>2270</v>
      </c>
      <c r="E59" s="152">
        <f t="shared" si="0"/>
        <v>65</v>
      </c>
      <c r="F59" s="50">
        <f>COUNTIF('제주항(JEJU)'!$C$2:$C$188,총괄!B59)</f>
        <v>55</v>
      </c>
      <c r="G59" s="153">
        <f>COUNTIF('서귀포(SEOGWIPO)'!$C$2:$C$523,총괄!B59)</f>
        <v>10</v>
      </c>
      <c r="H59" s="51"/>
    </row>
    <row r="60" spans="1:8" ht="27.6">
      <c r="A60" s="63"/>
      <c r="B60" s="64"/>
      <c r="C60" s="64"/>
      <c r="D60" s="64"/>
      <c r="E60" s="63"/>
      <c r="F60" s="65"/>
      <c r="G60" s="65"/>
      <c r="H60" s="66"/>
    </row>
    <row r="61" spans="1:8" ht="27.6">
      <c r="A61" s="63" t="s">
        <v>305</v>
      </c>
      <c r="B61" s="67"/>
      <c r="C61" s="67"/>
      <c r="D61" s="67"/>
      <c r="E61" s="67"/>
      <c r="F61" s="67"/>
      <c r="G61" s="67"/>
      <c r="H61" s="67"/>
    </row>
  </sheetData>
  <autoFilter ref="A4:H59" xr:uid="{14B0FA13-90C6-4B1F-A2DC-FA6169A8A78D}">
    <filterColumn colId="4">
      <filters>
        <filter val="1"/>
        <filter val="2"/>
        <filter val="23"/>
        <filter val="28"/>
        <filter val="3"/>
        <filter val="32"/>
        <filter val="4"/>
        <filter val="5"/>
        <filter val="51"/>
        <filter val="6"/>
        <filter val="73"/>
        <filter val="78"/>
      </filters>
    </filterColumn>
  </autoFilter>
  <mergeCells count="18">
    <mergeCell ref="A58:A59"/>
    <mergeCell ref="A6:A7"/>
    <mergeCell ref="A13:A14"/>
    <mergeCell ref="A31:A34"/>
    <mergeCell ref="A29:A30"/>
    <mergeCell ref="A37:A40"/>
    <mergeCell ref="A27:A28"/>
    <mergeCell ref="A35:A36"/>
    <mergeCell ref="A45:A48"/>
    <mergeCell ref="A23:A24"/>
    <mergeCell ref="A41:A43"/>
    <mergeCell ref="A1:H1"/>
    <mergeCell ref="A2:A3"/>
    <mergeCell ref="B2:B3"/>
    <mergeCell ref="C2:C3"/>
    <mergeCell ref="D2:D3"/>
    <mergeCell ref="E2:G2"/>
    <mergeCell ref="H2:H3"/>
  </mergeCells>
  <phoneticPr fontId="3" type="noConversion"/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B212-A749-4936-8BD8-A479711C166A}">
  <dimension ref="A1:L123"/>
  <sheetViews>
    <sheetView view="pageBreakPreview" zoomScaleNormal="100" zoomScaleSheetLayoutView="100" workbookViewId="0">
      <pane ySplit="1" topLeftCell="A60" activePane="bottomLeft" state="frozen"/>
      <selection pane="bottomLeft" activeCell="D64" sqref="D64"/>
    </sheetView>
  </sheetViews>
  <sheetFormatPr defaultColWidth="9" defaultRowHeight="17.399999999999999"/>
  <cols>
    <col min="1" max="2" width="9.19921875" style="155" bestFit="1" customWidth="1"/>
    <col min="3" max="3" width="20.3984375" style="158" bestFit="1" customWidth="1"/>
    <col min="4" max="5" width="16.59765625" style="160" bestFit="1" customWidth="1"/>
    <col min="6" max="6" width="9.19921875" style="155" bestFit="1" customWidth="1"/>
    <col min="7" max="7" width="9.19921875" style="206" bestFit="1" customWidth="1"/>
    <col min="8" max="8" width="13" style="206" bestFit="1" customWidth="1"/>
    <col min="9" max="11" width="15.59765625" style="155" bestFit="1" customWidth="1"/>
    <col min="12" max="16384" width="9" style="155"/>
  </cols>
  <sheetData>
    <row r="1" spans="1:12" ht="34.799999999999997">
      <c r="A1" s="189" t="s">
        <v>213</v>
      </c>
      <c r="B1" s="190" t="s">
        <v>214</v>
      </c>
      <c r="C1" s="191" t="s">
        <v>196</v>
      </c>
      <c r="D1" s="192" t="s">
        <v>215</v>
      </c>
      <c r="E1" s="192" t="s">
        <v>216</v>
      </c>
      <c r="F1" s="193" t="s">
        <v>220</v>
      </c>
      <c r="G1" s="207" t="s">
        <v>4</v>
      </c>
      <c r="H1" s="207" t="s">
        <v>5</v>
      </c>
      <c r="I1" s="193" t="s">
        <v>219</v>
      </c>
      <c r="J1" s="193" t="s">
        <v>217</v>
      </c>
      <c r="K1" s="194" t="s">
        <v>218</v>
      </c>
    </row>
    <row r="2" spans="1:12">
      <c r="A2" s="161">
        <v>1</v>
      </c>
      <c r="B2" s="37" t="s">
        <v>201</v>
      </c>
      <c r="C2" s="3" t="s">
        <v>272</v>
      </c>
      <c r="D2" s="162">
        <v>46027.333333333336</v>
      </c>
      <c r="E2" s="162">
        <v>46027.666666666664</v>
      </c>
      <c r="F2" s="10" t="str">
        <f>TEXT((VALUE(E2)-VALUE(D2))*24,"0.0")</f>
        <v>8.0</v>
      </c>
      <c r="G2" s="210">
        <v>77499</v>
      </c>
      <c r="H2" s="208">
        <v>2270</v>
      </c>
      <c r="I2" s="163" t="s">
        <v>269</v>
      </c>
      <c r="J2" s="163" t="s">
        <v>269</v>
      </c>
      <c r="K2" s="164" t="s">
        <v>84</v>
      </c>
      <c r="L2"/>
    </row>
    <row r="3" spans="1:12">
      <c r="A3" s="161">
        <v>2</v>
      </c>
      <c r="B3" s="37" t="s">
        <v>201</v>
      </c>
      <c r="C3" s="169" t="s">
        <v>272</v>
      </c>
      <c r="D3" s="162">
        <v>46038.5</v>
      </c>
      <c r="E3" s="162">
        <v>46038.833333333336</v>
      </c>
      <c r="F3" s="10" t="str">
        <f t="shared" ref="F3:F58" si="0">TEXT((VALUE(E3)-VALUE(D3))*24,"0.0")</f>
        <v>8.0</v>
      </c>
      <c r="G3" s="210">
        <v>77499</v>
      </c>
      <c r="H3" s="208">
        <v>2270</v>
      </c>
      <c r="I3" s="163" t="s">
        <v>269</v>
      </c>
      <c r="J3" s="163" t="s">
        <v>89</v>
      </c>
      <c r="K3" s="164" t="s">
        <v>45</v>
      </c>
      <c r="L3"/>
    </row>
    <row r="4" spans="1:12">
      <c r="A4" s="161">
        <v>3</v>
      </c>
      <c r="B4" s="37" t="s">
        <v>201</v>
      </c>
      <c r="C4" s="169" t="s">
        <v>272</v>
      </c>
      <c r="D4" s="162">
        <v>46047.333333333336</v>
      </c>
      <c r="E4" s="162">
        <v>46047.666666666664</v>
      </c>
      <c r="F4" s="10" t="str">
        <f t="shared" si="0"/>
        <v>8.0</v>
      </c>
      <c r="G4" s="210">
        <v>77499</v>
      </c>
      <c r="H4" s="208">
        <v>2270</v>
      </c>
      <c r="I4" s="163" t="s">
        <v>269</v>
      </c>
      <c r="J4" s="163" t="s">
        <v>269</v>
      </c>
      <c r="K4" s="164" t="s">
        <v>84</v>
      </c>
      <c r="L4"/>
    </row>
    <row r="5" spans="1:12" customFormat="1">
      <c r="A5" s="161">
        <v>4</v>
      </c>
      <c r="B5" s="37" t="s">
        <v>201</v>
      </c>
      <c r="C5" s="169" t="s">
        <v>272</v>
      </c>
      <c r="D5" s="162">
        <v>46053.5</v>
      </c>
      <c r="E5" s="162">
        <v>46053.833333333336</v>
      </c>
      <c r="F5" s="10" t="str">
        <f t="shared" si="0"/>
        <v>8.0</v>
      </c>
      <c r="G5" s="210">
        <v>77499</v>
      </c>
      <c r="H5" s="208">
        <v>2270</v>
      </c>
      <c r="I5" s="163" t="s">
        <v>269</v>
      </c>
      <c r="J5" s="163" t="s">
        <v>89</v>
      </c>
      <c r="K5" s="164" t="s">
        <v>45</v>
      </c>
    </row>
    <row r="6" spans="1:12">
      <c r="A6" s="161">
        <v>5</v>
      </c>
      <c r="B6" s="37" t="s">
        <v>201</v>
      </c>
      <c r="C6" s="172" t="s">
        <v>272</v>
      </c>
      <c r="D6" s="170">
        <v>46057.333333333336</v>
      </c>
      <c r="E6" s="170">
        <v>46057.666666666664</v>
      </c>
      <c r="F6" s="10" t="str">
        <f t="shared" si="0"/>
        <v>8.0</v>
      </c>
      <c r="G6" s="208">
        <v>77499</v>
      </c>
      <c r="H6" s="205">
        <v>2270</v>
      </c>
      <c r="I6" s="166" t="s">
        <v>269</v>
      </c>
      <c r="J6" s="166" t="s">
        <v>269</v>
      </c>
      <c r="K6" s="167" t="s">
        <v>84</v>
      </c>
      <c r="L6"/>
    </row>
    <row r="7" spans="1:12">
      <c r="A7" s="161">
        <v>6</v>
      </c>
      <c r="B7" s="37" t="s">
        <v>201</v>
      </c>
      <c r="C7" s="172" t="s">
        <v>272</v>
      </c>
      <c r="D7" s="170">
        <v>46062.375</v>
      </c>
      <c r="E7" s="170">
        <v>46062.708333333336</v>
      </c>
      <c r="F7" s="10" t="str">
        <f t="shared" si="0"/>
        <v>8.0</v>
      </c>
      <c r="G7" s="208">
        <v>77499</v>
      </c>
      <c r="H7" s="205">
        <v>2270</v>
      </c>
      <c r="I7" s="166" t="s">
        <v>269</v>
      </c>
      <c r="J7" s="166" t="s">
        <v>269</v>
      </c>
      <c r="K7" s="167" t="s">
        <v>84</v>
      </c>
      <c r="L7" s="201"/>
    </row>
    <row r="8" spans="1:12">
      <c r="A8" s="161">
        <v>7</v>
      </c>
      <c r="B8" s="37" t="s">
        <v>201</v>
      </c>
      <c r="C8" s="172" t="s">
        <v>272</v>
      </c>
      <c r="D8" s="170">
        <v>46067.333333333336</v>
      </c>
      <c r="E8" s="170">
        <v>46067.666666666664</v>
      </c>
      <c r="F8" s="10" t="str">
        <f t="shared" si="0"/>
        <v>8.0</v>
      </c>
      <c r="G8" s="208">
        <v>77499</v>
      </c>
      <c r="H8" s="205">
        <v>2270</v>
      </c>
      <c r="I8" s="166" t="s">
        <v>45</v>
      </c>
      <c r="J8" s="166" t="s">
        <v>269</v>
      </c>
      <c r="K8" s="167" t="s">
        <v>84</v>
      </c>
      <c r="L8" s="201"/>
    </row>
    <row r="9" spans="1:12">
      <c r="A9" s="161">
        <v>8</v>
      </c>
      <c r="B9" s="37" t="s">
        <v>201</v>
      </c>
      <c r="C9" s="172" t="s">
        <v>273</v>
      </c>
      <c r="D9" s="170">
        <v>46072.291666666664</v>
      </c>
      <c r="E9" s="170">
        <v>46072.708333333336</v>
      </c>
      <c r="F9" s="10" t="str">
        <f t="shared" si="0"/>
        <v>10.0</v>
      </c>
      <c r="G9" s="208">
        <v>30277</v>
      </c>
      <c r="H9" s="205">
        <v>803</v>
      </c>
      <c r="I9" s="166" t="s">
        <v>60</v>
      </c>
      <c r="J9" s="166" t="s">
        <v>256</v>
      </c>
      <c r="K9" s="167" t="s">
        <v>84</v>
      </c>
      <c r="L9"/>
    </row>
    <row r="10" spans="1:12">
      <c r="A10" s="161">
        <v>9</v>
      </c>
      <c r="B10" s="37" t="s">
        <v>201</v>
      </c>
      <c r="C10" s="169" t="s">
        <v>272</v>
      </c>
      <c r="D10" s="162">
        <v>46073.5</v>
      </c>
      <c r="E10" s="162">
        <v>46073.833333333336</v>
      </c>
      <c r="F10" s="10" t="str">
        <f t="shared" si="0"/>
        <v>8.0</v>
      </c>
      <c r="G10" s="210">
        <v>77499</v>
      </c>
      <c r="H10" s="208">
        <v>2270</v>
      </c>
      <c r="I10" s="163" t="s">
        <v>269</v>
      </c>
      <c r="J10" s="163" t="s">
        <v>84</v>
      </c>
      <c r="K10" s="164" t="s">
        <v>269</v>
      </c>
      <c r="L10"/>
    </row>
    <row r="11" spans="1:12">
      <c r="A11" s="161">
        <v>10</v>
      </c>
      <c r="B11" s="37" t="s">
        <v>201</v>
      </c>
      <c r="C11" s="169" t="s">
        <v>272</v>
      </c>
      <c r="D11" s="162">
        <v>46085.583333333336</v>
      </c>
      <c r="E11" s="162">
        <v>46085.916666666664</v>
      </c>
      <c r="F11" s="10" t="str">
        <f t="shared" si="0"/>
        <v>8.0</v>
      </c>
      <c r="G11" s="210">
        <v>77499</v>
      </c>
      <c r="H11" s="208">
        <v>2270</v>
      </c>
      <c r="I11" s="163" t="s">
        <v>254</v>
      </c>
      <c r="J11" s="163" t="s">
        <v>254</v>
      </c>
      <c r="K11" s="164" t="s">
        <v>57</v>
      </c>
      <c r="L11"/>
    </row>
    <row r="12" spans="1:12">
      <c r="A12" s="161">
        <v>11</v>
      </c>
      <c r="B12" s="37" t="s">
        <v>201</v>
      </c>
      <c r="C12" s="157" t="s">
        <v>273</v>
      </c>
      <c r="D12" s="162">
        <v>46090.333333333336</v>
      </c>
      <c r="E12" s="162">
        <v>46090.708333333336</v>
      </c>
      <c r="F12" s="10" t="str">
        <f t="shared" si="0"/>
        <v>9.0</v>
      </c>
      <c r="G12" s="208">
        <v>30277</v>
      </c>
      <c r="H12" s="205">
        <v>803</v>
      </c>
      <c r="I12" s="166" t="s">
        <v>254</v>
      </c>
      <c r="J12" s="166" t="s">
        <v>224</v>
      </c>
      <c r="K12" s="165" t="s">
        <v>63</v>
      </c>
      <c r="L12"/>
    </row>
    <row r="13" spans="1:12">
      <c r="A13" s="161">
        <v>12</v>
      </c>
      <c r="B13" s="37" t="s">
        <v>201</v>
      </c>
      <c r="C13" s="157" t="s">
        <v>272</v>
      </c>
      <c r="D13" s="162">
        <v>46093.583333333336</v>
      </c>
      <c r="E13" s="162">
        <v>46093.916666666664</v>
      </c>
      <c r="F13" s="10" t="str">
        <f t="shared" si="0"/>
        <v>8.0</v>
      </c>
      <c r="G13" s="208">
        <v>77499</v>
      </c>
      <c r="H13" s="205">
        <v>2270</v>
      </c>
      <c r="I13" s="18" t="s">
        <v>254</v>
      </c>
      <c r="J13" s="18" t="s">
        <v>254</v>
      </c>
      <c r="K13" s="164" t="s">
        <v>57</v>
      </c>
      <c r="L13"/>
    </row>
    <row r="14" spans="1:12">
      <c r="A14" s="161">
        <v>13</v>
      </c>
      <c r="B14" s="37" t="s">
        <v>201</v>
      </c>
      <c r="C14" s="157" t="s">
        <v>288</v>
      </c>
      <c r="D14" s="162">
        <v>46094.291666666664</v>
      </c>
      <c r="E14" s="162">
        <v>46094.645833333336</v>
      </c>
      <c r="F14" s="10" t="str">
        <f t="shared" si="0"/>
        <v>8.5</v>
      </c>
      <c r="G14" s="208">
        <v>9988</v>
      </c>
      <c r="H14" s="205">
        <v>184</v>
      </c>
      <c r="I14" s="18" t="s">
        <v>263</v>
      </c>
      <c r="J14" s="18" t="s">
        <v>275</v>
      </c>
      <c r="K14" s="165" t="s">
        <v>267</v>
      </c>
      <c r="L14"/>
    </row>
    <row r="15" spans="1:12">
      <c r="A15" s="161">
        <v>14</v>
      </c>
      <c r="B15" s="37" t="s">
        <v>201</v>
      </c>
      <c r="C15" s="172" t="s">
        <v>272</v>
      </c>
      <c r="D15" s="170">
        <v>46097.583333333336</v>
      </c>
      <c r="E15" s="170">
        <v>46097.916666666664</v>
      </c>
      <c r="F15" s="10" t="str">
        <f t="shared" si="0"/>
        <v>8.0</v>
      </c>
      <c r="G15" s="208">
        <v>77499</v>
      </c>
      <c r="H15" s="205">
        <v>2270</v>
      </c>
      <c r="I15" s="166" t="s">
        <v>254</v>
      </c>
      <c r="J15" s="166" t="s">
        <v>254</v>
      </c>
      <c r="K15" s="164" t="s">
        <v>57</v>
      </c>
      <c r="L15" s="201"/>
    </row>
    <row r="16" spans="1:12">
      <c r="A16" s="161">
        <v>15</v>
      </c>
      <c r="B16" s="37" t="s">
        <v>201</v>
      </c>
      <c r="C16" s="172" t="s">
        <v>272</v>
      </c>
      <c r="D16" s="170">
        <v>46101.583333333336</v>
      </c>
      <c r="E16" s="170">
        <v>46101.916666666664</v>
      </c>
      <c r="F16" s="10" t="str">
        <f t="shared" si="0"/>
        <v>8.0</v>
      </c>
      <c r="G16" s="208">
        <v>77499</v>
      </c>
      <c r="H16" s="205">
        <v>2270</v>
      </c>
      <c r="I16" s="166" t="s">
        <v>254</v>
      </c>
      <c r="J16" s="166" t="s">
        <v>254</v>
      </c>
      <c r="K16" s="164" t="s">
        <v>57</v>
      </c>
      <c r="L16"/>
    </row>
    <row r="17" spans="1:12">
      <c r="A17" s="161">
        <v>16</v>
      </c>
      <c r="B17" s="37" t="s">
        <v>201</v>
      </c>
      <c r="C17" s="157" t="s">
        <v>276</v>
      </c>
      <c r="D17" s="162">
        <v>46103.333333333336</v>
      </c>
      <c r="E17" s="162">
        <v>46103.75</v>
      </c>
      <c r="F17" s="10" t="str">
        <f t="shared" si="0"/>
        <v>10.0</v>
      </c>
      <c r="G17" s="208">
        <v>51068</v>
      </c>
      <c r="H17" s="205">
        <v>1203</v>
      </c>
      <c r="I17" s="18" t="s">
        <v>60</v>
      </c>
      <c r="J17" s="166" t="s">
        <v>254</v>
      </c>
      <c r="K17" s="167" t="s">
        <v>274</v>
      </c>
      <c r="L17"/>
    </row>
    <row r="18" spans="1:12">
      <c r="A18" s="161">
        <v>17</v>
      </c>
      <c r="B18" s="37" t="s">
        <v>201</v>
      </c>
      <c r="C18" s="169" t="s">
        <v>277</v>
      </c>
      <c r="D18" s="162">
        <v>46104.333333333336</v>
      </c>
      <c r="E18" s="162">
        <v>46104.708333333336</v>
      </c>
      <c r="F18" s="10" t="str">
        <f t="shared" si="0"/>
        <v>9.0</v>
      </c>
      <c r="G18" s="210">
        <v>91011</v>
      </c>
      <c r="H18" s="208">
        <v>2593</v>
      </c>
      <c r="I18" s="163" t="s">
        <v>263</v>
      </c>
      <c r="J18" s="163" t="s">
        <v>278</v>
      </c>
      <c r="K18" s="164" t="s">
        <v>257</v>
      </c>
      <c r="L18"/>
    </row>
    <row r="19" spans="1:12">
      <c r="A19" s="161">
        <v>18</v>
      </c>
      <c r="B19" s="37" t="s">
        <v>201</v>
      </c>
      <c r="C19" s="172" t="s">
        <v>272</v>
      </c>
      <c r="D19" s="170">
        <v>46109.583333333336</v>
      </c>
      <c r="E19" s="170">
        <v>46109.916666666664</v>
      </c>
      <c r="F19" s="10" t="str">
        <f t="shared" si="0"/>
        <v>8.0</v>
      </c>
      <c r="G19" s="208">
        <v>77499</v>
      </c>
      <c r="H19" s="205">
        <v>2270</v>
      </c>
      <c r="I19" s="166" t="s">
        <v>254</v>
      </c>
      <c r="J19" s="166" t="s">
        <v>254</v>
      </c>
      <c r="K19" s="164" t="s">
        <v>57</v>
      </c>
      <c r="L19"/>
    </row>
    <row r="20" spans="1:12">
      <c r="A20" s="161">
        <v>19</v>
      </c>
      <c r="B20" s="37" t="s">
        <v>201</v>
      </c>
      <c r="C20" s="172" t="s">
        <v>279</v>
      </c>
      <c r="D20" s="170">
        <v>46112.291666666664</v>
      </c>
      <c r="E20" s="170">
        <v>46112.75</v>
      </c>
      <c r="F20" s="10" t="str">
        <f t="shared" si="0"/>
        <v>11.0</v>
      </c>
      <c r="G20" s="208">
        <v>75338</v>
      </c>
      <c r="H20" s="205">
        <v>2400</v>
      </c>
      <c r="I20" s="166" t="s">
        <v>287</v>
      </c>
      <c r="J20" s="166" t="s">
        <v>287</v>
      </c>
      <c r="K20" s="164" t="s">
        <v>257</v>
      </c>
      <c r="L20"/>
    </row>
    <row r="21" spans="1:12">
      <c r="A21" s="161">
        <v>20</v>
      </c>
      <c r="B21" s="37" t="s">
        <v>201</v>
      </c>
      <c r="C21" s="169" t="s">
        <v>272</v>
      </c>
      <c r="D21" s="162">
        <v>46113.583333333336</v>
      </c>
      <c r="E21" s="162">
        <v>46113.916666666664</v>
      </c>
      <c r="F21" s="10" t="str">
        <f t="shared" si="0"/>
        <v>8.0</v>
      </c>
      <c r="G21" s="210">
        <v>77499</v>
      </c>
      <c r="H21" s="208">
        <v>2270</v>
      </c>
      <c r="I21" s="163" t="s">
        <v>254</v>
      </c>
      <c r="J21" s="163" t="s">
        <v>254</v>
      </c>
      <c r="K21" s="164" t="s">
        <v>256</v>
      </c>
      <c r="L21"/>
    </row>
    <row r="22" spans="1:12">
      <c r="A22" s="161">
        <v>21</v>
      </c>
      <c r="B22" s="37" t="s">
        <v>201</v>
      </c>
      <c r="C22" s="157" t="s">
        <v>277</v>
      </c>
      <c r="D22" s="162">
        <v>46117.333333333336</v>
      </c>
      <c r="E22" s="162">
        <v>46117.708333333336</v>
      </c>
      <c r="F22" s="10" t="str">
        <f t="shared" si="0"/>
        <v>9.0</v>
      </c>
      <c r="G22" s="208">
        <v>91011</v>
      </c>
      <c r="H22" s="205">
        <v>2593</v>
      </c>
      <c r="I22" s="1" t="s">
        <v>263</v>
      </c>
      <c r="J22" s="1" t="s">
        <v>278</v>
      </c>
      <c r="K22" s="167" t="s">
        <v>257</v>
      </c>
      <c r="L22"/>
    </row>
    <row r="23" spans="1:12">
      <c r="A23" s="161">
        <v>22</v>
      </c>
      <c r="B23" s="37" t="s">
        <v>201</v>
      </c>
      <c r="C23" s="172" t="s">
        <v>32</v>
      </c>
      <c r="D23" s="170">
        <v>46121.354166666664</v>
      </c>
      <c r="E23" s="170">
        <v>46121.75</v>
      </c>
      <c r="F23" s="10" t="str">
        <f t="shared" si="0"/>
        <v>9.5</v>
      </c>
      <c r="G23" s="208">
        <v>22472</v>
      </c>
      <c r="H23" s="205">
        <v>607</v>
      </c>
      <c r="I23" s="166" t="s">
        <v>263</v>
      </c>
      <c r="J23" s="166" t="s">
        <v>258</v>
      </c>
      <c r="K23" s="167" t="s">
        <v>280</v>
      </c>
      <c r="L23"/>
    </row>
    <row r="24" spans="1:12">
      <c r="A24" s="161">
        <v>23</v>
      </c>
      <c r="B24" s="37" t="s">
        <v>201</v>
      </c>
      <c r="C24" s="157" t="s">
        <v>328</v>
      </c>
      <c r="D24" s="162">
        <v>46125.333333333336</v>
      </c>
      <c r="E24" s="162">
        <v>46125.708333333336</v>
      </c>
      <c r="F24" s="10" t="str">
        <f t="shared" si="0"/>
        <v>9.0</v>
      </c>
      <c r="G24" s="208">
        <v>47842</v>
      </c>
      <c r="H24" s="205">
        <v>954</v>
      </c>
      <c r="I24" s="1" t="s">
        <v>20</v>
      </c>
      <c r="J24" s="1" t="s">
        <v>13</v>
      </c>
      <c r="K24" s="167" t="s">
        <v>329</v>
      </c>
      <c r="L24"/>
    </row>
    <row r="25" spans="1:12">
      <c r="A25" s="161">
        <v>24</v>
      </c>
      <c r="B25" s="37" t="s">
        <v>201</v>
      </c>
      <c r="C25" s="172" t="s">
        <v>279</v>
      </c>
      <c r="D25" s="170">
        <v>46126.291666666664</v>
      </c>
      <c r="E25" s="170">
        <v>46126.75</v>
      </c>
      <c r="F25" s="10" t="str">
        <f t="shared" si="0"/>
        <v>11.0</v>
      </c>
      <c r="G25" s="208">
        <v>75338</v>
      </c>
      <c r="H25" s="205">
        <v>2800</v>
      </c>
      <c r="I25" s="166" t="s">
        <v>287</v>
      </c>
      <c r="J25" s="166" t="s">
        <v>287</v>
      </c>
      <c r="K25" s="164" t="s">
        <v>257</v>
      </c>
      <c r="L25"/>
    </row>
    <row r="26" spans="1:12">
      <c r="A26" s="161">
        <v>25</v>
      </c>
      <c r="B26" s="37" t="s">
        <v>201</v>
      </c>
      <c r="C26" s="172" t="s">
        <v>277</v>
      </c>
      <c r="D26" s="170">
        <v>46128.333333333336</v>
      </c>
      <c r="E26" s="170">
        <v>46128.708333333336</v>
      </c>
      <c r="F26" s="10" t="str">
        <f t="shared" si="0"/>
        <v>9.0</v>
      </c>
      <c r="G26" s="208">
        <v>91011</v>
      </c>
      <c r="H26" s="205">
        <v>2593</v>
      </c>
      <c r="I26" s="166" t="s">
        <v>263</v>
      </c>
      <c r="J26" s="166" t="s">
        <v>22</v>
      </c>
      <c r="K26" s="167" t="s">
        <v>257</v>
      </c>
      <c r="L26"/>
    </row>
    <row r="27" spans="1:12">
      <c r="A27" s="161">
        <v>26</v>
      </c>
      <c r="B27" s="37" t="s">
        <v>201</v>
      </c>
      <c r="C27" s="172" t="s">
        <v>272</v>
      </c>
      <c r="D27" s="170">
        <v>46129.583333333336</v>
      </c>
      <c r="E27" s="170">
        <v>46129.916666666664</v>
      </c>
      <c r="F27" s="10" t="str">
        <f t="shared" si="0"/>
        <v>8.0</v>
      </c>
      <c r="G27" s="208">
        <v>77499</v>
      </c>
      <c r="H27" s="205">
        <v>2270</v>
      </c>
      <c r="I27" s="166" t="s">
        <v>254</v>
      </c>
      <c r="J27" s="166" t="s">
        <v>254</v>
      </c>
      <c r="K27" s="167" t="s">
        <v>256</v>
      </c>
      <c r="L27"/>
    </row>
    <row r="28" spans="1:12">
      <c r="A28" s="161">
        <v>27</v>
      </c>
      <c r="B28" s="37" t="s">
        <v>201</v>
      </c>
      <c r="C28" s="172" t="s">
        <v>326</v>
      </c>
      <c r="D28" s="170">
        <v>46131.333333333336</v>
      </c>
      <c r="E28" s="170">
        <v>46131.666666666664</v>
      </c>
      <c r="F28" s="10" t="str">
        <f t="shared" si="0"/>
        <v>8.0</v>
      </c>
      <c r="G28" s="212">
        <v>102784</v>
      </c>
      <c r="H28" s="212">
        <v>3470</v>
      </c>
      <c r="I28" s="179" t="s">
        <v>45</v>
      </c>
      <c r="J28" s="179" t="s">
        <v>45</v>
      </c>
      <c r="K28" s="216" t="s">
        <v>89</v>
      </c>
      <c r="L28"/>
    </row>
    <row r="29" spans="1:12">
      <c r="A29" s="161">
        <v>28</v>
      </c>
      <c r="B29" s="37" t="s">
        <v>201</v>
      </c>
      <c r="C29" s="157" t="s">
        <v>272</v>
      </c>
      <c r="D29" s="162">
        <v>46133.583333333336</v>
      </c>
      <c r="E29" s="162">
        <v>46133.916666666664</v>
      </c>
      <c r="F29" s="10" t="str">
        <f t="shared" si="0"/>
        <v>8.0</v>
      </c>
      <c r="G29" s="208">
        <v>77499</v>
      </c>
      <c r="H29" s="205">
        <v>2270</v>
      </c>
      <c r="I29" s="1" t="s">
        <v>254</v>
      </c>
      <c r="J29" s="1" t="s">
        <v>254</v>
      </c>
      <c r="K29" s="167" t="s">
        <v>256</v>
      </c>
      <c r="L29"/>
    </row>
    <row r="30" spans="1:12">
      <c r="A30" s="161">
        <v>29</v>
      </c>
      <c r="B30" s="37" t="s">
        <v>201</v>
      </c>
      <c r="C30" s="157" t="s">
        <v>281</v>
      </c>
      <c r="D30" s="162">
        <v>46134.375</v>
      </c>
      <c r="E30" s="162">
        <v>46134.708333333336</v>
      </c>
      <c r="F30" s="10" t="str">
        <f t="shared" si="0"/>
        <v>8.0</v>
      </c>
      <c r="G30" s="208">
        <v>4200</v>
      </c>
      <c r="H30" s="205">
        <v>118</v>
      </c>
      <c r="I30" s="166" t="s">
        <v>265</v>
      </c>
      <c r="J30" s="166" t="s">
        <v>13</v>
      </c>
      <c r="K30" s="167" t="s">
        <v>330</v>
      </c>
      <c r="L30"/>
    </row>
    <row r="31" spans="1:12">
      <c r="A31" s="161">
        <v>30</v>
      </c>
      <c r="B31" s="37" t="s">
        <v>201</v>
      </c>
      <c r="C31" s="157" t="s">
        <v>317</v>
      </c>
      <c r="D31" s="162">
        <v>46137.375</v>
      </c>
      <c r="E31" s="162">
        <v>46137.708333333336</v>
      </c>
      <c r="F31" s="10" t="str">
        <f t="shared" si="0"/>
        <v>8.0</v>
      </c>
      <c r="G31" s="208">
        <v>32477</v>
      </c>
      <c r="H31" s="205">
        <v>540</v>
      </c>
      <c r="I31" s="1" t="s">
        <v>265</v>
      </c>
      <c r="J31" s="1" t="s">
        <v>265</v>
      </c>
      <c r="K31" s="167" t="s">
        <v>260</v>
      </c>
      <c r="L31"/>
    </row>
    <row r="32" spans="1:12">
      <c r="A32" s="161">
        <v>31</v>
      </c>
      <c r="B32" s="37" t="s">
        <v>201</v>
      </c>
      <c r="C32" s="169" t="s">
        <v>276</v>
      </c>
      <c r="D32" s="162">
        <v>46138.333333333336</v>
      </c>
      <c r="E32" s="162">
        <v>46138.625</v>
      </c>
      <c r="F32" s="10" t="str">
        <f t="shared" si="0"/>
        <v>7.0</v>
      </c>
      <c r="G32" s="210">
        <v>51068</v>
      </c>
      <c r="H32" s="208">
        <v>1203</v>
      </c>
      <c r="I32" s="1" t="s">
        <v>89</v>
      </c>
      <c r="J32" s="163" t="s">
        <v>203</v>
      </c>
      <c r="K32" s="164" t="s">
        <v>89</v>
      </c>
      <c r="L32"/>
    </row>
    <row r="33" spans="1:12">
      <c r="A33" s="161">
        <v>32</v>
      </c>
      <c r="B33" s="37" t="s">
        <v>201</v>
      </c>
      <c r="C33" s="172" t="s">
        <v>272</v>
      </c>
      <c r="D33" s="170">
        <v>46141.583333333336</v>
      </c>
      <c r="E33" s="170">
        <v>46141.916666666664</v>
      </c>
      <c r="F33" s="10" t="str">
        <f t="shared" si="0"/>
        <v>8.0</v>
      </c>
      <c r="G33" s="208">
        <v>77499</v>
      </c>
      <c r="H33" s="205">
        <v>2270</v>
      </c>
      <c r="I33" s="166" t="s">
        <v>254</v>
      </c>
      <c r="J33" s="166" t="s">
        <v>254</v>
      </c>
      <c r="K33" s="167" t="s">
        <v>256</v>
      </c>
      <c r="L33"/>
    </row>
    <row r="34" spans="1:12">
      <c r="A34" s="161">
        <v>33</v>
      </c>
      <c r="B34" s="37" t="s">
        <v>201</v>
      </c>
      <c r="C34" s="157" t="s">
        <v>306</v>
      </c>
      <c r="D34" s="162">
        <v>46146.333333333336</v>
      </c>
      <c r="E34" s="162">
        <v>46146.916666666664</v>
      </c>
      <c r="F34" s="10" t="str">
        <f t="shared" si="0"/>
        <v>14.0</v>
      </c>
      <c r="G34" s="208">
        <v>77499</v>
      </c>
      <c r="H34" s="205">
        <v>2270</v>
      </c>
      <c r="I34" s="70" t="s">
        <v>254</v>
      </c>
      <c r="J34" s="70" t="s">
        <v>224</v>
      </c>
      <c r="K34" s="195" t="s">
        <v>224</v>
      </c>
      <c r="L34" s="201"/>
    </row>
    <row r="35" spans="1:12">
      <c r="A35" s="161">
        <v>34</v>
      </c>
      <c r="B35" s="37" t="s">
        <v>201</v>
      </c>
      <c r="C35" s="172" t="s">
        <v>279</v>
      </c>
      <c r="D35" s="162">
        <v>46147.291666666664</v>
      </c>
      <c r="E35" s="162">
        <v>46147.75</v>
      </c>
      <c r="F35" s="10" t="str">
        <f t="shared" si="0"/>
        <v>11.0</v>
      </c>
      <c r="G35" s="208">
        <v>75338</v>
      </c>
      <c r="H35" s="205">
        <v>2500</v>
      </c>
      <c r="I35" s="166" t="s">
        <v>287</v>
      </c>
      <c r="J35" s="166" t="s">
        <v>287</v>
      </c>
      <c r="K35" s="164" t="s">
        <v>172</v>
      </c>
      <c r="L35"/>
    </row>
    <row r="36" spans="1:12">
      <c r="A36" s="161">
        <v>35</v>
      </c>
      <c r="B36" s="37" t="s">
        <v>201</v>
      </c>
      <c r="C36" s="157" t="s">
        <v>272</v>
      </c>
      <c r="D36" s="162">
        <v>46153.583333333336</v>
      </c>
      <c r="E36" s="162">
        <v>46153.916666666664</v>
      </c>
      <c r="F36" s="10" t="str">
        <f t="shared" si="0"/>
        <v>8.0</v>
      </c>
      <c r="G36" s="208">
        <v>77499</v>
      </c>
      <c r="H36" s="205">
        <v>2270</v>
      </c>
      <c r="I36" s="18" t="s">
        <v>254</v>
      </c>
      <c r="J36" s="18" t="s">
        <v>254</v>
      </c>
      <c r="K36" s="165" t="s">
        <v>256</v>
      </c>
      <c r="L36"/>
    </row>
    <row r="37" spans="1:12">
      <c r="A37" s="161">
        <v>36</v>
      </c>
      <c r="B37" s="37" t="s">
        <v>201</v>
      </c>
      <c r="C37" s="169" t="s">
        <v>282</v>
      </c>
      <c r="D37" s="162">
        <v>46157.416666666664</v>
      </c>
      <c r="E37" s="162">
        <v>46157.75</v>
      </c>
      <c r="F37" s="10" t="str">
        <f t="shared" si="0"/>
        <v>8.0</v>
      </c>
      <c r="G37" s="210">
        <v>32346</v>
      </c>
      <c r="H37" s="208">
        <v>540</v>
      </c>
      <c r="I37" s="163" t="s">
        <v>265</v>
      </c>
      <c r="J37" s="163" t="s">
        <v>260</v>
      </c>
      <c r="K37" s="164" t="s">
        <v>265</v>
      </c>
      <c r="L37"/>
    </row>
    <row r="38" spans="1:12">
      <c r="A38" s="161">
        <v>37</v>
      </c>
      <c r="B38" s="37" t="s">
        <v>201</v>
      </c>
      <c r="C38" s="157" t="s">
        <v>276</v>
      </c>
      <c r="D38" s="162">
        <v>46158.291666666664</v>
      </c>
      <c r="E38" s="162">
        <v>46158.708333333336</v>
      </c>
      <c r="F38" s="10" t="str">
        <f t="shared" si="0"/>
        <v>10.0</v>
      </c>
      <c r="G38" s="208">
        <v>51044</v>
      </c>
      <c r="H38" s="205">
        <v>1203</v>
      </c>
      <c r="I38" s="1" t="s">
        <v>28</v>
      </c>
      <c r="J38" s="1" t="s">
        <v>61</v>
      </c>
      <c r="K38" s="167" t="s">
        <v>13</v>
      </c>
      <c r="L38"/>
    </row>
    <row r="39" spans="1:12">
      <c r="A39" s="161">
        <v>38</v>
      </c>
      <c r="B39" s="37" t="s">
        <v>201</v>
      </c>
      <c r="C39" s="172" t="s">
        <v>272</v>
      </c>
      <c r="D39" s="170">
        <v>46161.583333333336</v>
      </c>
      <c r="E39" s="170">
        <v>46161.916666666664</v>
      </c>
      <c r="F39" s="10" t="str">
        <f t="shared" si="0"/>
        <v>8.0</v>
      </c>
      <c r="G39" s="208">
        <v>77499</v>
      </c>
      <c r="H39" s="205">
        <v>2270</v>
      </c>
      <c r="I39" s="166" t="s">
        <v>254</v>
      </c>
      <c r="J39" s="166" t="s">
        <v>254</v>
      </c>
      <c r="K39" s="167" t="s">
        <v>256</v>
      </c>
      <c r="L39"/>
    </row>
    <row r="40" spans="1:12">
      <c r="A40" s="161">
        <v>39</v>
      </c>
      <c r="B40" s="37" t="s">
        <v>201</v>
      </c>
      <c r="C40" s="157" t="s">
        <v>272</v>
      </c>
      <c r="D40" s="162">
        <v>46165.583333333336</v>
      </c>
      <c r="E40" s="162">
        <v>46165.916666666664</v>
      </c>
      <c r="F40" s="10" t="str">
        <f t="shared" si="0"/>
        <v>8.0</v>
      </c>
      <c r="G40" s="208">
        <v>77499</v>
      </c>
      <c r="H40" s="205">
        <v>2270</v>
      </c>
      <c r="I40" s="1" t="s">
        <v>254</v>
      </c>
      <c r="J40" s="1" t="s">
        <v>254</v>
      </c>
      <c r="K40" s="167" t="s">
        <v>256</v>
      </c>
      <c r="L40"/>
    </row>
    <row r="41" spans="1:12">
      <c r="A41" s="161">
        <v>40</v>
      </c>
      <c r="B41" s="37" t="s">
        <v>201</v>
      </c>
      <c r="C41" s="157" t="s">
        <v>309</v>
      </c>
      <c r="D41" s="162">
        <v>46166.291666666664</v>
      </c>
      <c r="E41" s="162">
        <v>46166.625</v>
      </c>
      <c r="F41" s="10" t="str">
        <f t="shared" si="0"/>
        <v>8.0</v>
      </c>
      <c r="G41" s="208">
        <v>85619</v>
      </c>
      <c r="H41" s="205">
        <v>2680</v>
      </c>
      <c r="I41" s="1" t="s">
        <v>163</v>
      </c>
      <c r="J41" s="1" t="s">
        <v>57</v>
      </c>
      <c r="K41" s="167" t="s">
        <v>163</v>
      </c>
      <c r="L41"/>
    </row>
    <row r="42" spans="1:12">
      <c r="A42" s="161">
        <v>41</v>
      </c>
      <c r="B42" s="37" t="s">
        <v>201</v>
      </c>
      <c r="C42" s="169" t="s">
        <v>272</v>
      </c>
      <c r="D42" s="162">
        <v>46169.6875</v>
      </c>
      <c r="E42" s="162">
        <v>46169.916666666664</v>
      </c>
      <c r="F42" s="10" t="str">
        <f t="shared" si="0"/>
        <v>5.5</v>
      </c>
      <c r="G42" s="210">
        <v>77499</v>
      </c>
      <c r="H42" s="208">
        <v>2270</v>
      </c>
      <c r="I42" s="163" t="s">
        <v>254</v>
      </c>
      <c r="J42" s="163" t="s">
        <v>254</v>
      </c>
      <c r="K42" s="164" t="s">
        <v>256</v>
      </c>
      <c r="L42"/>
    </row>
    <row r="43" spans="1:12">
      <c r="A43" s="161">
        <v>42</v>
      </c>
      <c r="B43" s="37" t="s">
        <v>201</v>
      </c>
      <c r="C43" s="172" t="s">
        <v>277</v>
      </c>
      <c r="D43" s="170">
        <v>46170.291666666664</v>
      </c>
      <c r="E43" s="170">
        <v>46170.708333333336</v>
      </c>
      <c r="F43" s="10" t="str">
        <f t="shared" si="0"/>
        <v>10.0</v>
      </c>
      <c r="G43" s="208">
        <v>91011</v>
      </c>
      <c r="H43" s="205">
        <v>2593</v>
      </c>
      <c r="I43" s="166" t="s">
        <v>84</v>
      </c>
      <c r="J43" s="166" t="s">
        <v>84</v>
      </c>
      <c r="K43" s="167" t="s">
        <v>57</v>
      </c>
      <c r="L43"/>
    </row>
    <row r="44" spans="1:12">
      <c r="A44" s="161">
        <v>43</v>
      </c>
      <c r="B44" s="37" t="s">
        <v>201</v>
      </c>
      <c r="C44" s="157" t="s">
        <v>283</v>
      </c>
      <c r="D44" s="162">
        <v>46171.3125</v>
      </c>
      <c r="E44" s="162">
        <v>46171.645833333336</v>
      </c>
      <c r="F44" s="10" t="str">
        <f t="shared" si="0"/>
        <v>8.0</v>
      </c>
      <c r="G44" s="208">
        <v>85619</v>
      </c>
      <c r="H44" s="205">
        <v>2680</v>
      </c>
      <c r="I44" s="1" t="s">
        <v>285</v>
      </c>
      <c r="J44" s="1" t="s">
        <v>57</v>
      </c>
      <c r="K44" s="167" t="s">
        <v>271</v>
      </c>
      <c r="L44"/>
    </row>
    <row r="45" spans="1:12">
      <c r="A45" s="161">
        <v>44</v>
      </c>
      <c r="B45" s="37" t="s">
        <v>201</v>
      </c>
      <c r="C45" s="172" t="s">
        <v>272</v>
      </c>
      <c r="D45" s="170">
        <v>46173.583333333336</v>
      </c>
      <c r="E45" s="170">
        <v>46173.875</v>
      </c>
      <c r="F45" s="10" t="str">
        <f t="shared" si="0"/>
        <v>7.0</v>
      </c>
      <c r="G45" s="208">
        <v>77499</v>
      </c>
      <c r="H45" s="205">
        <v>2270</v>
      </c>
      <c r="I45" s="166" t="s">
        <v>254</v>
      </c>
      <c r="J45" s="166" t="s">
        <v>254</v>
      </c>
      <c r="K45" s="167" t="s">
        <v>256</v>
      </c>
      <c r="L45"/>
    </row>
    <row r="46" spans="1:12">
      <c r="A46" s="161">
        <v>45</v>
      </c>
      <c r="B46" s="37" t="s">
        <v>201</v>
      </c>
      <c r="C46" s="172" t="s">
        <v>35</v>
      </c>
      <c r="D46" s="170">
        <v>46174.458333333336</v>
      </c>
      <c r="E46" s="170">
        <v>46174.75</v>
      </c>
      <c r="F46" s="10" t="str">
        <f t="shared" si="0"/>
        <v>7.0</v>
      </c>
      <c r="G46" s="208">
        <v>51068</v>
      </c>
      <c r="H46" s="205">
        <v>1203</v>
      </c>
      <c r="I46" s="166" t="s">
        <v>89</v>
      </c>
      <c r="J46" s="166" t="s">
        <v>89</v>
      </c>
      <c r="K46" s="167" t="s">
        <v>13</v>
      </c>
      <c r="L46"/>
    </row>
    <row r="47" spans="1:12">
      <c r="A47" s="161">
        <v>46</v>
      </c>
      <c r="B47" s="37" t="s">
        <v>201</v>
      </c>
      <c r="C47" s="157" t="s">
        <v>283</v>
      </c>
      <c r="D47" s="162">
        <v>46175.3125</v>
      </c>
      <c r="E47" s="162">
        <v>46175.645833333336</v>
      </c>
      <c r="F47" s="10" t="str">
        <f t="shared" si="0"/>
        <v>8.0</v>
      </c>
      <c r="G47" s="208">
        <v>85619</v>
      </c>
      <c r="H47" s="205">
        <v>2680</v>
      </c>
      <c r="I47" s="1" t="s">
        <v>285</v>
      </c>
      <c r="J47" s="1" t="s">
        <v>57</v>
      </c>
      <c r="K47" s="167" t="s">
        <v>285</v>
      </c>
      <c r="L47"/>
    </row>
    <row r="48" spans="1:12">
      <c r="A48" s="161">
        <v>47</v>
      </c>
      <c r="B48" s="37" t="s">
        <v>201</v>
      </c>
      <c r="C48" s="169" t="s">
        <v>272</v>
      </c>
      <c r="D48" s="162">
        <v>46177.583333333336</v>
      </c>
      <c r="E48" s="162">
        <v>46177.875</v>
      </c>
      <c r="F48" s="10" t="str">
        <f t="shared" si="0"/>
        <v>7.0</v>
      </c>
      <c r="G48" s="210">
        <v>77499</v>
      </c>
      <c r="H48" s="208">
        <v>2270</v>
      </c>
      <c r="I48" s="163" t="s">
        <v>254</v>
      </c>
      <c r="J48" s="163" t="s">
        <v>254</v>
      </c>
      <c r="K48" s="167" t="s">
        <v>57</v>
      </c>
      <c r="L48"/>
    </row>
    <row r="49" spans="1:12">
      <c r="A49" s="161">
        <v>48</v>
      </c>
      <c r="B49" s="37" t="s">
        <v>201</v>
      </c>
      <c r="C49" s="169" t="s">
        <v>272</v>
      </c>
      <c r="D49" s="162">
        <v>46181.583333333336</v>
      </c>
      <c r="E49" s="162">
        <v>46181.916666666664</v>
      </c>
      <c r="F49" s="10" t="str">
        <f t="shared" si="0"/>
        <v>8.0</v>
      </c>
      <c r="G49" s="210">
        <v>77499</v>
      </c>
      <c r="H49" s="205">
        <v>2270</v>
      </c>
      <c r="I49" s="166" t="s">
        <v>254</v>
      </c>
      <c r="J49" s="166" t="s">
        <v>254</v>
      </c>
      <c r="K49" s="167" t="s">
        <v>256</v>
      </c>
      <c r="L49"/>
    </row>
    <row r="50" spans="1:12">
      <c r="A50" s="161">
        <v>49</v>
      </c>
      <c r="B50" s="37" t="s">
        <v>201</v>
      </c>
      <c r="C50" s="169" t="s">
        <v>283</v>
      </c>
      <c r="D50" s="162">
        <v>46182.333333333336</v>
      </c>
      <c r="E50" s="162">
        <v>46182.666666666664</v>
      </c>
      <c r="F50" s="10" t="str">
        <f t="shared" si="0"/>
        <v>8.0</v>
      </c>
      <c r="G50" s="210">
        <v>85619</v>
      </c>
      <c r="H50" s="208">
        <v>2680</v>
      </c>
      <c r="I50" s="163" t="s">
        <v>269</v>
      </c>
      <c r="J50" s="163" t="s">
        <v>269</v>
      </c>
      <c r="K50" s="164" t="s">
        <v>89</v>
      </c>
      <c r="L50"/>
    </row>
    <row r="51" spans="1:12">
      <c r="A51" s="161">
        <v>50</v>
      </c>
      <c r="B51" s="37" t="s">
        <v>201</v>
      </c>
      <c r="C51" s="169" t="s">
        <v>316</v>
      </c>
      <c r="D51" s="162">
        <v>46184.375</v>
      </c>
      <c r="E51" s="162">
        <v>46184.625</v>
      </c>
      <c r="F51" s="10" t="str">
        <f t="shared" si="0"/>
        <v>6.0</v>
      </c>
      <c r="G51" s="210">
        <v>15540</v>
      </c>
      <c r="H51" s="208">
        <v>230</v>
      </c>
      <c r="I51" s="163" t="s">
        <v>77</v>
      </c>
      <c r="J51" s="163" t="s">
        <v>256</v>
      </c>
      <c r="K51" s="164" t="s">
        <v>257</v>
      </c>
      <c r="L51"/>
    </row>
    <row r="52" spans="1:12">
      <c r="A52" s="161">
        <v>51</v>
      </c>
      <c r="B52" s="37" t="s">
        <v>201</v>
      </c>
      <c r="C52" s="172" t="s">
        <v>272</v>
      </c>
      <c r="D52" s="170">
        <v>46185.583333333336</v>
      </c>
      <c r="E52" s="170">
        <v>46185.916666666664</v>
      </c>
      <c r="F52" s="10" t="str">
        <f t="shared" si="0"/>
        <v>8.0</v>
      </c>
      <c r="G52" s="208">
        <v>77499</v>
      </c>
      <c r="H52" s="205">
        <v>2270</v>
      </c>
      <c r="I52" s="166" t="s">
        <v>254</v>
      </c>
      <c r="J52" s="166" t="s">
        <v>254</v>
      </c>
      <c r="K52" s="167" t="s">
        <v>256</v>
      </c>
      <c r="L52"/>
    </row>
    <row r="53" spans="1:12">
      <c r="A53" s="161">
        <v>52</v>
      </c>
      <c r="B53" s="37" t="s">
        <v>201</v>
      </c>
      <c r="C53" s="172" t="s">
        <v>283</v>
      </c>
      <c r="D53" s="170">
        <v>46188.583333333336</v>
      </c>
      <c r="E53" s="170">
        <v>46188.916666666664</v>
      </c>
      <c r="F53" s="10" t="str">
        <f t="shared" si="0"/>
        <v>8.0</v>
      </c>
      <c r="G53" s="208">
        <v>85619</v>
      </c>
      <c r="H53" s="205">
        <v>2680</v>
      </c>
      <c r="I53" s="166" t="s">
        <v>269</v>
      </c>
      <c r="J53" s="166" t="s">
        <v>89</v>
      </c>
      <c r="K53" s="167" t="s">
        <v>45</v>
      </c>
      <c r="L53"/>
    </row>
    <row r="54" spans="1:12">
      <c r="A54" s="161">
        <v>53</v>
      </c>
      <c r="B54" s="37" t="s">
        <v>201</v>
      </c>
      <c r="C54" s="172" t="s">
        <v>283</v>
      </c>
      <c r="D54" s="170">
        <v>46192.333333333336</v>
      </c>
      <c r="E54" s="170">
        <v>46192.666666666664</v>
      </c>
      <c r="F54" s="10" t="str">
        <f t="shared" si="0"/>
        <v>8.0</v>
      </c>
      <c r="G54" s="208">
        <v>85619</v>
      </c>
      <c r="H54" s="205">
        <v>2680</v>
      </c>
      <c r="I54" s="166" t="s">
        <v>269</v>
      </c>
      <c r="J54" s="166" t="s">
        <v>269</v>
      </c>
      <c r="K54" s="167" t="s">
        <v>89</v>
      </c>
      <c r="L54"/>
    </row>
    <row r="55" spans="1:12">
      <c r="A55" s="161">
        <v>54</v>
      </c>
      <c r="B55" s="37" t="s">
        <v>201</v>
      </c>
      <c r="C55" s="169" t="s">
        <v>283</v>
      </c>
      <c r="D55" s="162">
        <v>46197.333333333336</v>
      </c>
      <c r="E55" s="162">
        <v>46197.666666666664</v>
      </c>
      <c r="F55" s="10" t="str">
        <f t="shared" si="0"/>
        <v>8.0</v>
      </c>
      <c r="G55" s="210">
        <v>85619</v>
      </c>
      <c r="H55" s="208">
        <v>2680</v>
      </c>
      <c r="I55" s="179" t="s">
        <v>45</v>
      </c>
      <c r="J55" s="179" t="s">
        <v>45</v>
      </c>
      <c r="K55" s="216" t="s">
        <v>89</v>
      </c>
      <c r="L55" s="201"/>
    </row>
    <row r="56" spans="1:12">
      <c r="A56" s="161">
        <v>55</v>
      </c>
      <c r="B56" s="37" t="s">
        <v>201</v>
      </c>
      <c r="C56" s="169" t="s">
        <v>272</v>
      </c>
      <c r="D56" s="162">
        <v>46201.583333333336</v>
      </c>
      <c r="E56" s="162">
        <v>46201.916666666664</v>
      </c>
      <c r="F56" s="10" t="str">
        <f t="shared" si="0"/>
        <v>8.0</v>
      </c>
      <c r="G56" s="210">
        <v>77499</v>
      </c>
      <c r="H56" s="208">
        <v>2270</v>
      </c>
      <c r="I56" s="163" t="s">
        <v>254</v>
      </c>
      <c r="J56" s="163" t="s">
        <v>254</v>
      </c>
      <c r="K56" s="164" t="s">
        <v>256</v>
      </c>
      <c r="L56"/>
    </row>
    <row r="57" spans="1:12">
      <c r="A57" s="161">
        <v>56</v>
      </c>
      <c r="B57" s="37" t="s">
        <v>201</v>
      </c>
      <c r="C57" s="169" t="s">
        <v>283</v>
      </c>
      <c r="D57" s="162">
        <v>46202.333333333336</v>
      </c>
      <c r="E57" s="162">
        <v>46202.666666666664</v>
      </c>
      <c r="F57" s="10" t="str">
        <f t="shared" si="0"/>
        <v>8.0</v>
      </c>
      <c r="G57" s="210">
        <v>85619</v>
      </c>
      <c r="H57" s="208">
        <v>2680</v>
      </c>
      <c r="I57" s="163" t="s">
        <v>269</v>
      </c>
      <c r="J57" s="163" t="s">
        <v>269</v>
      </c>
      <c r="K57" s="164" t="s">
        <v>89</v>
      </c>
      <c r="L57"/>
    </row>
    <row r="58" spans="1:12">
      <c r="A58" s="161">
        <v>57</v>
      </c>
      <c r="B58" s="37" t="s">
        <v>201</v>
      </c>
      <c r="C58" s="169" t="s">
        <v>272</v>
      </c>
      <c r="D58" s="162">
        <v>46205.583333333336</v>
      </c>
      <c r="E58" s="162">
        <v>46205.916666666664</v>
      </c>
      <c r="F58" s="10" t="str">
        <f t="shared" si="0"/>
        <v>8.0</v>
      </c>
      <c r="G58" s="210">
        <v>77499</v>
      </c>
      <c r="H58" s="208">
        <v>2270</v>
      </c>
      <c r="I58" s="163" t="s">
        <v>254</v>
      </c>
      <c r="J58" s="163" t="s">
        <v>254</v>
      </c>
      <c r="K58" s="164" t="s">
        <v>256</v>
      </c>
      <c r="L58"/>
    </row>
    <row r="59" spans="1:12">
      <c r="A59" s="161">
        <v>58</v>
      </c>
      <c r="B59" s="37" t="s">
        <v>201</v>
      </c>
      <c r="C59" s="169" t="s">
        <v>283</v>
      </c>
      <c r="D59" s="162">
        <v>46207.333333333336</v>
      </c>
      <c r="E59" s="162">
        <v>46207.666666666664</v>
      </c>
      <c r="F59" s="10" t="str">
        <f t="shared" ref="F59:F120" si="1">TEXT((VALUE(E59)-VALUE(D59))*24,"0.0")</f>
        <v>8.0</v>
      </c>
      <c r="G59" s="210">
        <v>85619</v>
      </c>
      <c r="H59" s="208">
        <v>2680</v>
      </c>
      <c r="I59" s="163" t="s">
        <v>269</v>
      </c>
      <c r="J59" s="163" t="s">
        <v>269</v>
      </c>
      <c r="K59" s="164" t="s">
        <v>57</v>
      </c>
      <c r="L59"/>
    </row>
    <row r="60" spans="1:12">
      <c r="A60" s="161">
        <v>59</v>
      </c>
      <c r="B60" s="37" t="s">
        <v>201</v>
      </c>
      <c r="C60" s="172" t="s">
        <v>272</v>
      </c>
      <c r="D60" s="170">
        <v>46209.583333333336</v>
      </c>
      <c r="E60" s="170">
        <v>46209.916666666664</v>
      </c>
      <c r="F60" s="10" t="str">
        <f t="shared" si="1"/>
        <v>8.0</v>
      </c>
      <c r="G60" s="208">
        <v>77499</v>
      </c>
      <c r="H60" s="205">
        <v>2270</v>
      </c>
      <c r="I60" s="166" t="s">
        <v>254</v>
      </c>
      <c r="J60" s="166" t="s">
        <v>254</v>
      </c>
      <c r="K60" s="167" t="s">
        <v>256</v>
      </c>
      <c r="L60"/>
    </row>
    <row r="61" spans="1:12">
      <c r="A61" s="161">
        <v>60</v>
      </c>
      <c r="B61" s="37" t="s">
        <v>201</v>
      </c>
      <c r="C61" s="157" t="s">
        <v>283</v>
      </c>
      <c r="D61" s="162">
        <v>46212.333333333336</v>
      </c>
      <c r="E61" s="162">
        <v>46212.666666666664</v>
      </c>
      <c r="F61" s="10" t="str">
        <f t="shared" si="1"/>
        <v>8.0</v>
      </c>
      <c r="G61" s="208">
        <v>85619</v>
      </c>
      <c r="H61" s="205">
        <v>2680</v>
      </c>
      <c r="I61" s="163" t="s">
        <v>269</v>
      </c>
      <c r="J61" s="163" t="s">
        <v>269</v>
      </c>
      <c r="K61" s="164" t="s">
        <v>89</v>
      </c>
      <c r="L61"/>
    </row>
    <row r="62" spans="1:12">
      <c r="A62" s="161">
        <v>61</v>
      </c>
      <c r="B62" s="37" t="s">
        <v>201</v>
      </c>
      <c r="C62" s="172" t="s">
        <v>272</v>
      </c>
      <c r="D62" s="170">
        <v>46213.583333333336</v>
      </c>
      <c r="E62" s="170">
        <v>46213.916666666664</v>
      </c>
      <c r="F62" s="10" t="str">
        <f t="shared" si="1"/>
        <v>8.0</v>
      </c>
      <c r="G62" s="208">
        <v>77499</v>
      </c>
      <c r="H62" s="205">
        <v>2270</v>
      </c>
      <c r="I62" s="166" t="s">
        <v>254</v>
      </c>
      <c r="J62" s="166" t="s">
        <v>254</v>
      </c>
      <c r="K62" s="167" t="s">
        <v>256</v>
      </c>
      <c r="L62"/>
    </row>
    <row r="63" spans="1:12">
      <c r="A63" s="161">
        <v>62</v>
      </c>
      <c r="B63" s="37" t="s">
        <v>201</v>
      </c>
      <c r="C63" s="172" t="s">
        <v>289</v>
      </c>
      <c r="D63" s="162">
        <v>46217.333333333336</v>
      </c>
      <c r="E63" s="162">
        <v>46217.708333333336</v>
      </c>
      <c r="F63" s="10" t="str">
        <f t="shared" si="1"/>
        <v>9.0</v>
      </c>
      <c r="G63" s="208">
        <v>50444</v>
      </c>
      <c r="H63" s="205">
        <v>960</v>
      </c>
      <c r="I63" s="166" t="s">
        <v>286</v>
      </c>
      <c r="J63" s="166" t="s">
        <v>286</v>
      </c>
      <c r="K63" s="167" t="s">
        <v>286</v>
      </c>
      <c r="L63" s="201"/>
    </row>
    <row r="64" spans="1:12">
      <c r="A64" s="161">
        <v>63</v>
      </c>
      <c r="B64" s="37" t="s">
        <v>201</v>
      </c>
      <c r="C64" s="169" t="s">
        <v>283</v>
      </c>
      <c r="D64" s="162">
        <v>46222.333333333336</v>
      </c>
      <c r="E64" s="162">
        <v>46222.666666666664</v>
      </c>
      <c r="F64" s="10" t="str">
        <f t="shared" si="1"/>
        <v>8.0</v>
      </c>
      <c r="G64" s="210">
        <v>85619</v>
      </c>
      <c r="H64" s="208">
        <v>2680</v>
      </c>
      <c r="I64" s="163" t="s">
        <v>269</v>
      </c>
      <c r="J64" s="163" t="s">
        <v>269</v>
      </c>
      <c r="K64" s="164" t="s">
        <v>89</v>
      </c>
      <c r="L64"/>
    </row>
    <row r="65" spans="1:12">
      <c r="A65" s="161">
        <v>64</v>
      </c>
      <c r="B65" s="37" t="s">
        <v>201</v>
      </c>
      <c r="C65" s="169" t="s">
        <v>283</v>
      </c>
      <c r="D65" s="162">
        <v>46227.333333333336</v>
      </c>
      <c r="E65" s="162">
        <v>46227.666666666664</v>
      </c>
      <c r="F65" s="10" t="str">
        <f t="shared" si="1"/>
        <v>8.0</v>
      </c>
      <c r="G65" s="210">
        <v>85619</v>
      </c>
      <c r="H65" s="208">
        <v>2680</v>
      </c>
      <c r="I65" s="163" t="s">
        <v>269</v>
      </c>
      <c r="J65" s="163" t="s">
        <v>269</v>
      </c>
      <c r="K65" s="164" t="s">
        <v>57</v>
      </c>
      <c r="L65"/>
    </row>
    <row r="66" spans="1:12">
      <c r="A66" s="161">
        <v>65</v>
      </c>
      <c r="B66" s="37" t="s">
        <v>201</v>
      </c>
      <c r="C66" s="172" t="s">
        <v>282</v>
      </c>
      <c r="D66" s="170">
        <v>46229.375</v>
      </c>
      <c r="E66" s="170">
        <v>46229.75</v>
      </c>
      <c r="F66" s="10" t="str">
        <f t="shared" si="1"/>
        <v>9.0</v>
      </c>
      <c r="G66" s="208">
        <v>32477</v>
      </c>
      <c r="H66" s="205">
        <v>540</v>
      </c>
      <c r="I66" s="166" t="s">
        <v>265</v>
      </c>
      <c r="J66" s="166" t="s">
        <v>260</v>
      </c>
      <c r="K66" s="164" t="s">
        <v>321</v>
      </c>
      <c r="L66"/>
    </row>
    <row r="67" spans="1:12">
      <c r="A67" s="161">
        <v>66</v>
      </c>
      <c r="B67" s="37" t="s">
        <v>201</v>
      </c>
      <c r="C67" s="169" t="s">
        <v>283</v>
      </c>
      <c r="D67" s="162">
        <v>46232.333333333336</v>
      </c>
      <c r="E67" s="162">
        <v>46232.666666666664</v>
      </c>
      <c r="F67" s="10" t="str">
        <f t="shared" si="1"/>
        <v>8.0</v>
      </c>
      <c r="G67" s="210">
        <v>85619</v>
      </c>
      <c r="H67" s="208">
        <v>2680</v>
      </c>
      <c r="I67" s="163" t="s">
        <v>269</v>
      </c>
      <c r="J67" s="163" t="s">
        <v>269</v>
      </c>
      <c r="K67" s="164" t="s">
        <v>89</v>
      </c>
      <c r="L67"/>
    </row>
    <row r="68" spans="1:12">
      <c r="A68" s="161">
        <v>67</v>
      </c>
      <c r="B68" s="37" t="s">
        <v>201</v>
      </c>
      <c r="C68" s="169" t="s">
        <v>272</v>
      </c>
      <c r="D68" s="170">
        <v>46238.333333333336</v>
      </c>
      <c r="E68" s="170">
        <v>46238.666666666664</v>
      </c>
      <c r="F68" s="10" t="str">
        <f t="shared" ref="F68" si="2">TEXT((VALUE(E68)-VALUE(D68))*24,"0.0")</f>
        <v>8.0</v>
      </c>
      <c r="G68" s="208">
        <v>77499</v>
      </c>
      <c r="H68" s="205">
        <v>2270</v>
      </c>
      <c r="I68" s="166" t="s">
        <v>271</v>
      </c>
      <c r="J68" s="166" t="s">
        <v>271</v>
      </c>
      <c r="K68" s="167" t="s">
        <v>89</v>
      </c>
      <c r="L68" s="201"/>
    </row>
    <row r="69" spans="1:12" s="158" customFormat="1">
      <c r="A69" s="161">
        <v>68</v>
      </c>
      <c r="B69" s="37" t="s">
        <v>201</v>
      </c>
      <c r="C69" s="169" t="s">
        <v>283</v>
      </c>
      <c r="D69" s="162">
        <v>46239.333333333336</v>
      </c>
      <c r="E69" s="162">
        <v>46239.75</v>
      </c>
      <c r="F69" s="10" t="str">
        <f t="shared" si="1"/>
        <v>10.0</v>
      </c>
      <c r="G69" s="210">
        <v>85619</v>
      </c>
      <c r="H69" s="208">
        <v>2680</v>
      </c>
      <c r="I69" s="163" t="s">
        <v>269</v>
      </c>
      <c r="J69" s="163" t="s">
        <v>203</v>
      </c>
      <c r="K69" s="164" t="s">
        <v>269</v>
      </c>
      <c r="L69"/>
    </row>
    <row r="70" spans="1:12">
      <c r="A70" s="161">
        <v>69</v>
      </c>
      <c r="B70" s="37" t="s">
        <v>201</v>
      </c>
      <c r="C70" s="157" t="s">
        <v>283</v>
      </c>
      <c r="D70" s="162">
        <v>46243.333333333336</v>
      </c>
      <c r="E70" s="162">
        <v>46243.666666666664</v>
      </c>
      <c r="F70" s="10" t="str">
        <f t="shared" si="1"/>
        <v>8.0</v>
      </c>
      <c r="G70" s="208">
        <v>85619</v>
      </c>
      <c r="H70" s="205">
        <v>2680</v>
      </c>
      <c r="I70" s="1" t="s">
        <v>269</v>
      </c>
      <c r="J70" s="1" t="s">
        <v>269</v>
      </c>
      <c r="K70" s="167" t="s">
        <v>89</v>
      </c>
      <c r="L70"/>
    </row>
    <row r="71" spans="1:12">
      <c r="A71" s="161">
        <v>70</v>
      </c>
      <c r="B71" s="37" t="s">
        <v>201</v>
      </c>
      <c r="C71" s="169" t="s">
        <v>272</v>
      </c>
      <c r="D71" s="170">
        <v>46245.583333333336</v>
      </c>
      <c r="E71" s="170">
        <v>46245.916666666664</v>
      </c>
      <c r="F71" s="10" t="str">
        <f t="shared" si="1"/>
        <v>8.0</v>
      </c>
      <c r="G71" s="208">
        <v>77499</v>
      </c>
      <c r="H71" s="205">
        <v>2270</v>
      </c>
      <c r="I71" s="166" t="s">
        <v>254</v>
      </c>
      <c r="J71" s="166" t="s">
        <v>254</v>
      </c>
      <c r="K71" s="167" t="s">
        <v>256</v>
      </c>
      <c r="L71" s="201"/>
    </row>
    <row r="72" spans="1:12">
      <c r="A72" s="161">
        <v>71</v>
      </c>
      <c r="B72" s="37" t="s">
        <v>201</v>
      </c>
      <c r="C72" s="169" t="s">
        <v>283</v>
      </c>
      <c r="D72" s="162">
        <v>46248.333333333336</v>
      </c>
      <c r="E72" s="162">
        <v>46248.666666666664</v>
      </c>
      <c r="F72" s="10" t="str">
        <f t="shared" si="1"/>
        <v>8.0</v>
      </c>
      <c r="G72" s="210">
        <v>85619</v>
      </c>
      <c r="H72" s="208">
        <v>2680</v>
      </c>
      <c r="I72" s="163" t="s">
        <v>269</v>
      </c>
      <c r="J72" s="163" t="s">
        <v>269</v>
      </c>
      <c r="K72" s="164" t="s">
        <v>89</v>
      </c>
      <c r="L72"/>
    </row>
    <row r="73" spans="1:12">
      <c r="A73" s="161">
        <v>72</v>
      </c>
      <c r="B73" s="37" t="s">
        <v>201</v>
      </c>
      <c r="C73" s="169" t="s">
        <v>272</v>
      </c>
      <c r="D73" s="170">
        <v>46249.625</v>
      </c>
      <c r="E73" s="170">
        <v>46250.916666666664</v>
      </c>
      <c r="F73" s="10" t="str">
        <f t="shared" si="1"/>
        <v>31.0</v>
      </c>
      <c r="G73" s="208">
        <v>77499</v>
      </c>
      <c r="H73" s="205">
        <v>2270</v>
      </c>
      <c r="I73" s="166" t="s">
        <v>254</v>
      </c>
      <c r="J73" s="166" t="s">
        <v>224</v>
      </c>
      <c r="K73" s="167" t="s">
        <v>224</v>
      </c>
      <c r="L73" s="201" t="s">
        <v>304</v>
      </c>
    </row>
    <row r="74" spans="1:12">
      <c r="A74" s="161">
        <v>73</v>
      </c>
      <c r="B74" s="37" t="s">
        <v>201</v>
      </c>
      <c r="C74" s="169" t="s">
        <v>279</v>
      </c>
      <c r="D74" s="162">
        <v>46252.291666666664</v>
      </c>
      <c r="E74" s="162">
        <v>46252.75</v>
      </c>
      <c r="F74" s="10" t="str">
        <f t="shared" si="1"/>
        <v>11.0</v>
      </c>
      <c r="G74" s="210">
        <v>75338</v>
      </c>
      <c r="H74" s="205">
        <v>2500</v>
      </c>
      <c r="I74" s="163" t="s">
        <v>287</v>
      </c>
      <c r="J74" s="163" t="s">
        <v>287</v>
      </c>
      <c r="K74" s="164" t="s">
        <v>257</v>
      </c>
      <c r="L74"/>
    </row>
    <row r="75" spans="1:12">
      <c r="A75" s="161">
        <v>74</v>
      </c>
      <c r="B75" s="37" t="s">
        <v>201</v>
      </c>
      <c r="C75" s="169" t="s">
        <v>283</v>
      </c>
      <c r="D75" s="162">
        <v>46253.333333333336</v>
      </c>
      <c r="E75" s="162">
        <v>46253.666666666664</v>
      </c>
      <c r="F75" s="10" t="str">
        <f t="shared" si="1"/>
        <v>8.0</v>
      </c>
      <c r="G75" s="210">
        <v>85619</v>
      </c>
      <c r="H75" s="208">
        <v>2680</v>
      </c>
      <c r="I75" s="163" t="s">
        <v>269</v>
      </c>
      <c r="J75" s="163" t="s">
        <v>269</v>
      </c>
      <c r="K75" s="164" t="s">
        <v>89</v>
      </c>
      <c r="L75"/>
    </row>
    <row r="76" spans="1:12">
      <c r="A76" s="161">
        <v>75</v>
      </c>
      <c r="B76" s="37" t="s">
        <v>201</v>
      </c>
      <c r="C76" s="172" t="s">
        <v>282</v>
      </c>
      <c r="D76" s="170">
        <v>46254.291666666664</v>
      </c>
      <c r="E76" s="170">
        <v>46254.75</v>
      </c>
      <c r="F76" s="10" t="str">
        <f t="shared" si="1"/>
        <v>11.0</v>
      </c>
      <c r="G76" s="208">
        <v>32477</v>
      </c>
      <c r="H76" s="205">
        <v>540</v>
      </c>
      <c r="I76" s="166" t="s">
        <v>263</v>
      </c>
      <c r="J76" s="166" t="s">
        <v>322</v>
      </c>
      <c r="K76" s="167" t="s">
        <v>259</v>
      </c>
      <c r="L76"/>
    </row>
    <row r="77" spans="1:12">
      <c r="A77" s="161">
        <v>76</v>
      </c>
      <c r="B77" s="37" t="s">
        <v>201</v>
      </c>
      <c r="C77" s="169" t="s">
        <v>272</v>
      </c>
      <c r="D77" s="170">
        <v>46257.583333333336</v>
      </c>
      <c r="E77" s="170">
        <v>46257.916666666664</v>
      </c>
      <c r="F77" s="10" t="str">
        <f t="shared" si="1"/>
        <v>8.0</v>
      </c>
      <c r="G77" s="208">
        <v>77499</v>
      </c>
      <c r="H77" s="205">
        <v>2270</v>
      </c>
      <c r="I77" s="166" t="s">
        <v>254</v>
      </c>
      <c r="J77" s="166" t="s">
        <v>254</v>
      </c>
      <c r="K77" s="164" t="s">
        <v>256</v>
      </c>
      <c r="L77"/>
    </row>
    <row r="78" spans="1:12">
      <c r="A78" s="161">
        <v>77</v>
      </c>
      <c r="B78" s="37" t="s">
        <v>201</v>
      </c>
      <c r="C78" s="172" t="s">
        <v>283</v>
      </c>
      <c r="D78" s="162">
        <v>46258.333333333336</v>
      </c>
      <c r="E78" s="162">
        <v>46258.666666666664</v>
      </c>
      <c r="F78" s="10" t="str">
        <f t="shared" si="1"/>
        <v>8.0</v>
      </c>
      <c r="G78" s="208">
        <v>85619</v>
      </c>
      <c r="H78" s="208">
        <v>2680</v>
      </c>
      <c r="I78" s="166" t="s">
        <v>269</v>
      </c>
      <c r="J78" s="166" t="s">
        <v>269</v>
      </c>
      <c r="K78" s="171" t="s">
        <v>89</v>
      </c>
      <c r="L78"/>
    </row>
    <row r="79" spans="1:12">
      <c r="A79" s="161">
        <v>78</v>
      </c>
      <c r="B79" s="37" t="s">
        <v>201</v>
      </c>
      <c r="C79" s="169" t="s">
        <v>272</v>
      </c>
      <c r="D79" s="170">
        <v>46261.583333333336</v>
      </c>
      <c r="E79" s="170">
        <v>46261.916666666664</v>
      </c>
      <c r="F79" s="10" t="str">
        <f t="shared" si="1"/>
        <v>8.0</v>
      </c>
      <c r="G79" s="208">
        <v>77499</v>
      </c>
      <c r="H79" s="205">
        <v>2270</v>
      </c>
      <c r="I79" s="166" t="s">
        <v>254</v>
      </c>
      <c r="J79" s="166" t="s">
        <v>254</v>
      </c>
      <c r="K79" s="164" t="s">
        <v>256</v>
      </c>
      <c r="L79"/>
    </row>
    <row r="80" spans="1:12">
      <c r="A80" s="161">
        <v>79</v>
      </c>
      <c r="B80" s="37" t="s">
        <v>201</v>
      </c>
      <c r="C80" s="172" t="s">
        <v>282</v>
      </c>
      <c r="D80" s="170">
        <v>46263.333333333336</v>
      </c>
      <c r="E80" s="170">
        <v>46263.75</v>
      </c>
      <c r="F80" s="10" t="str">
        <f t="shared" si="1"/>
        <v>10.0</v>
      </c>
      <c r="G80" s="208">
        <v>32477</v>
      </c>
      <c r="H80" s="205">
        <v>540</v>
      </c>
      <c r="I80" s="166" t="s">
        <v>263</v>
      </c>
      <c r="J80" s="166" t="s">
        <v>257</v>
      </c>
      <c r="K80" s="167" t="s">
        <v>263</v>
      </c>
      <c r="L80"/>
    </row>
    <row r="81" spans="1:12">
      <c r="A81" s="161">
        <v>80</v>
      </c>
      <c r="B81" s="37" t="s">
        <v>201</v>
      </c>
      <c r="C81" s="169" t="s">
        <v>272</v>
      </c>
      <c r="D81" s="170">
        <v>46265.583333333336</v>
      </c>
      <c r="E81" s="170">
        <v>46265.916666666664</v>
      </c>
      <c r="F81" s="10" t="str">
        <f t="shared" si="1"/>
        <v>8.0</v>
      </c>
      <c r="G81" s="208">
        <v>77499</v>
      </c>
      <c r="H81" s="205">
        <v>2270</v>
      </c>
      <c r="I81" s="166" t="s">
        <v>254</v>
      </c>
      <c r="J81" s="166" t="s">
        <v>254</v>
      </c>
      <c r="K81" s="164" t="s">
        <v>256</v>
      </c>
      <c r="L81"/>
    </row>
    <row r="82" spans="1:12">
      <c r="A82" s="161">
        <v>81</v>
      </c>
      <c r="B82" s="37" t="s">
        <v>201</v>
      </c>
      <c r="C82" s="169" t="s">
        <v>279</v>
      </c>
      <c r="D82" s="170">
        <v>46266.291666666664</v>
      </c>
      <c r="E82" s="170">
        <v>46266.75</v>
      </c>
      <c r="F82" s="10" t="str">
        <f t="shared" si="1"/>
        <v>11.0</v>
      </c>
      <c r="G82" s="208">
        <v>75338</v>
      </c>
      <c r="H82" s="208">
        <v>2500</v>
      </c>
      <c r="I82" s="163" t="s">
        <v>287</v>
      </c>
      <c r="J82" s="163" t="s">
        <v>287</v>
      </c>
      <c r="K82" s="164" t="s">
        <v>257</v>
      </c>
      <c r="L82"/>
    </row>
    <row r="83" spans="1:12">
      <c r="A83" s="161">
        <v>82</v>
      </c>
      <c r="B83" s="37" t="s">
        <v>201</v>
      </c>
      <c r="C83" s="169" t="s">
        <v>272</v>
      </c>
      <c r="D83" s="170">
        <v>46269.583333333336</v>
      </c>
      <c r="E83" s="170">
        <v>46269.916666666664</v>
      </c>
      <c r="F83" s="10" t="str">
        <f t="shared" si="1"/>
        <v>8.0</v>
      </c>
      <c r="G83" s="208">
        <v>77499</v>
      </c>
      <c r="H83" s="205">
        <v>2270</v>
      </c>
      <c r="I83" s="166" t="s">
        <v>254</v>
      </c>
      <c r="J83" s="166" t="s">
        <v>254</v>
      </c>
      <c r="K83" s="164" t="s">
        <v>256</v>
      </c>
      <c r="L83"/>
    </row>
    <row r="84" spans="1:12">
      <c r="A84" s="161">
        <v>83</v>
      </c>
      <c r="B84" s="37" t="s">
        <v>201</v>
      </c>
      <c r="C84" s="157" t="s">
        <v>290</v>
      </c>
      <c r="D84" s="162">
        <v>46270.333333333336</v>
      </c>
      <c r="E84" s="162">
        <v>46270.708333333336</v>
      </c>
      <c r="F84" s="10" t="str">
        <f t="shared" si="1"/>
        <v>9.0</v>
      </c>
      <c r="G84" s="208">
        <v>52183</v>
      </c>
      <c r="H84" s="208">
        <v>744</v>
      </c>
      <c r="I84" s="163" t="s">
        <v>223</v>
      </c>
      <c r="J84" s="163" t="s">
        <v>223</v>
      </c>
      <c r="K84" s="164" t="s">
        <v>223</v>
      </c>
      <c r="L84"/>
    </row>
    <row r="85" spans="1:12">
      <c r="A85" s="161">
        <v>84</v>
      </c>
      <c r="B85" s="37" t="s">
        <v>201</v>
      </c>
      <c r="C85" s="169" t="s">
        <v>283</v>
      </c>
      <c r="D85" s="162">
        <v>46271.541666666664</v>
      </c>
      <c r="E85" s="162">
        <v>46271.875</v>
      </c>
      <c r="F85" s="10" t="str">
        <f t="shared" si="1"/>
        <v>8.0</v>
      </c>
      <c r="G85" s="210">
        <v>85619</v>
      </c>
      <c r="H85" s="208">
        <v>2680</v>
      </c>
      <c r="I85" s="166" t="s">
        <v>254</v>
      </c>
      <c r="J85" s="166" t="s">
        <v>254</v>
      </c>
      <c r="K85" s="164" t="s">
        <v>13</v>
      </c>
      <c r="L85"/>
    </row>
    <row r="86" spans="1:12">
      <c r="A86" s="161">
        <v>85</v>
      </c>
      <c r="B86" s="37" t="s">
        <v>201</v>
      </c>
      <c r="C86" s="169" t="s">
        <v>325</v>
      </c>
      <c r="D86" s="162">
        <v>46274.333333333336</v>
      </c>
      <c r="E86" s="162">
        <v>46274.666666666664</v>
      </c>
      <c r="F86" s="10" t="str">
        <f t="shared" si="1"/>
        <v>8.0</v>
      </c>
      <c r="G86" s="210">
        <v>102784</v>
      </c>
      <c r="H86" s="208">
        <v>3470</v>
      </c>
      <c r="I86" s="163" t="s">
        <v>45</v>
      </c>
      <c r="J86" s="163" t="s">
        <v>45</v>
      </c>
      <c r="K86" s="164" t="s">
        <v>89</v>
      </c>
      <c r="L86"/>
    </row>
    <row r="87" spans="1:12">
      <c r="A87" s="161">
        <v>86</v>
      </c>
      <c r="B87" s="37" t="s">
        <v>201</v>
      </c>
      <c r="C87" s="169" t="s">
        <v>309</v>
      </c>
      <c r="D87" s="162">
        <v>46275.541666666664</v>
      </c>
      <c r="E87" s="162">
        <v>46275.875</v>
      </c>
      <c r="F87" s="10" t="str">
        <f t="shared" ref="F87" si="3">TEXT((VALUE(E87)-VALUE(D87))*24,"0.0")</f>
        <v>8.0</v>
      </c>
      <c r="G87" s="210">
        <v>85619</v>
      </c>
      <c r="H87" s="208">
        <v>2680</v>
      </c>
      <c r="I87" s="166" t="s">
        <v>254</v>
      </c>
      <c r="J87" s="166" t="s">
        <v>254</v>
      </c>
      <c r="K87" s="164" t="s">
        <v>29</v>
      </c>
      <c r="L87"/>
    </row>
    <row r="88" spans="1:12">
      <c r="A88" s="161">
        <v>87</v>
      </c>
      <c r="B88" s="37" t="s">
        <v>201</v>
      </c>
      <c r="C88" s="169" t="s">
        <v>272</v>
      </c>
      <c r="D88" s="170">
        <v>46277.583333333336</v>
      </c>
      <c r="E88" s="170">
        <v>46277.916666666664</v>
      </c>
      <c r="F88" s="10" t="str">
        <f t="shared" si="1"/>
        <v>8.0</v>
      </c>
      <c r="G88" s="208">
        <v>77499</v>
      </c>
      <c r="H88" s="205">
        <v>2270</v>
      </c>
      <c r="I88" s="166" t="s">
        <v>254</v>
      </c>
      <c r="J88" s="166" t="s">
        <v>254</v>
      </c>
      <c r="K88" s="164" t="s">
        <v>256</v>
      </c>
      <c r="L88"/>
    </row>
    <row r="89" spans="1:12">
      <c r="A89" s="161">
        <v>88</v>
      </c>
      <c r="B89" s="37" t="s">
        <v>201</v>
      </c>
      <c r="C89" s="169" t="s">
        <v>283</v>
      </c>
      <c r="D89" s="162">
        <v>46279.541666666664</v>
      </c>
      <c r="E89" s="162">
        <v>46279.875</v>
      </c>
      <c r="F89" s="10" t="str">
        <f t="shared" si="1"/>
        <v>8.0</v>
      </c>
      <c r="G89" s="210">
        <v>85619</v>
      </c>
      <c r="H89" s="208">
        <v>2680</v>
      </c>
      <c r="I89" s="163" t="s">
        <v>224</v>
      </c>
      <c r="J89" s="163" t="s">
        <v>224</v>
      </c>
      <c r="K89" s="164" t="s">
        <v>29</v>
      </c>
      <c r="L89"/>
    </row>
    <row r="90" spans="1:12">
      <c r="A90" s="161">
        <v>89</v>
      </c>
      <c r="B90" s="37" t="s">
        <v>201</v>
      </c>
      <c r="C90" s="169" t="s">
        <v>272</v>
      </c>
      <c r="D90" s="170">
        <v>46281.583333333336</v>
      </c>
      <c r="E90" s="170">
        <v>46281.916666666664</v>
      </c>
      <c r="F90" s="10" t="str">
        <f t="shared" si="1"/>
        <v>8.0</v>
      </c>
      <c r="G90" s="208">
        <v>77499</v>
      </c>
      <c r="H90" s="205">
        <v>2270</v>
      </c>
      <c r="I90" s="166" t="s">
        <v>254</v>
      </c>
      <c r="J90" s="166" t="s">
        <v>254</v>
      </c>
      <c r="K90" s="164" t="s">
        <v>256</v>
      </c>
      <c r="L90" s="201"/>
    </row>
    <row r="91" spans="1:12">
      <c r="A91" s="161">
        <v>90</v>
      </c>
      <c r="B91" s="37" t="s">
        <v>201</v>
      </c>
      <c r="C91" s="169" t="s">
        <v>283</v>
      </c>
      <c r="D91" s="162">
        <v>46283.541666666664</v>
      </c>
      <c r="E91" s="162">
        <v>46283.875</v>
      </c>
      <c r="F91" s="10" t="str">
        <f t="shared" si="1"/>
        <v>8.0</v>
      </c>
      <c r="G91" s="210">
        <v>85619</v>
      </c>
      <c r="H91" s="208">
        <v>2680</v>
      </c>
      <c r="I91" s="163" t="s">
        <v>224</v>
      </c>
      <c r="J91" s="163" t="s">
        <v>224</v>
      </c>
      <c r="K91" s="164" t="s">
        <v>89</v>
      </c>
      <c r="L91"/>
    </row>
    <row r="92" spans="1:12">
      <c r="A92" s="161">
        <v>91</v>
      </c>
      <c r="B92" s="37" t="s">
        <v>201</v>
      </c>
      <c r="C92" s="169" t="s">
        <v>272</v>
      </c>
      <c r="D92" s="170">
        <v>46285.583333333336</v>
      </c>
      <c r="E92" s="170">
        <v>46285.916666666664</v>
      </c>
      <c r="F92" s="10" t="str">
        <f t="shared" si="1"/>
        <v>8.0</v>
      </c>
      <c r="G92" s="208">
        <v>77499</v>
      </c>
      <c r="H92" s="205">
        <v>2270</v>
      </c>
      <c r="I92" s="166" t="s">
        <v>254</v>
      </c>
      <c r="J92" s="166" t="s">
        <v>254</v>
      </c>
      <c r="K92" s="164" t="s">
        <v>13</v>
      </c>
      <c r="L92"/>
    </row>
    <row r="93" spans="1:12">
      <c r="A93" s="161">
        <v>92</v>
      </c>
      <c r="B93" s="37" t="s">
        <v>201</v>
      </c>
      <c r="C93" s="169" t="s">
        <v>283</v>
      </c>
      <c r="D93" s="162">
        <v>46287.604166666664</v>
      </c>
      <c r="E93" s="162">
        <v>46287.916666666664</v>
      </c>
      <c r="F93" s="10" t="str">
        <f t="shared" si="1"/>
        <v>7.5</v>
      </c>
      <c r="G93" s="210">
        <v>85619</v>
      </c>
      <c r="H93" s="208">
        <v>2680</v>
      </c>
      <c r="I93" s="163" t="s">
        <v>163</v>
      </c>
      <c r="J93" s="163" t="s">
        <v>163</v>
      </c>
      <c r="K93" s="167" t="s">
        <v>257</v>
      </c>
      <c r="L93"/>
    </row>
    <row r="94" spans="1:12">
      <c r="A94" s="161">
        <v>93</v>
      </c>
      <c r="B94" s="37" t="s">
        <v>201</v>
      </c>
      <c r="C94" s="169" t="s">
        <v>272</v>
      </c>
      <c r="D94" s="170">
        <v>46289.583333333336</v>
      </c>
      <c r="E94" s="170">
        <v>46289.916666666664</v>
      </c>
      <c r="F94" s="10" t="str">
        <f t="shared" si="1"/>
        <v>8.0</v>
      </c>
      <c r="G94" s="208">
        <v>77499</v>
      </c>
      <c r="H94" s="205">
        <v>2270</v>
      </c>
      <c r="I94" s="166" t="s">
        <v>254</v>
      </c>
      <c r="J94" s="166" t="s">
        <v>254</v>
      </c>
      <c r="K94" s="164" t="s">
        <v>256</v>
      </c>
      <c r="L94"/>
    </row>
    <row r="95" spans="1:12">
      <c r="A95" s="161">
        <v>94</v>
      </c>
      <c r="B95" s="37" t="s">
        <v>201</v>
      </c>
      <c r="C95" s="169" t="s">
        <v>283</v>
      </c>
      <c r="D95" s="162">
        <v>46293.541666666664</v>
      </c>
      <c r="E95" s="162">
        <v>46293.875</v>
      </c>
      <c r="F95" s="10" t="str">
        <f t="shared" si="1"/>
        <v>8.0</v>
      </c>
      <c r="G95" s="210">
        <v>85619</v>
      </c>
      <c r="H95" s="208">
        <v>2680</v>
      </c>
      <c r="I95" s="163" t="s">
        <v>269</v>
      </c>
      <c r="J95" s="163" t="s">
        <v>89</v>
      </c>
      <c r="K95" s="163" t="s">
        <v>57</v>
      </c>
      <c r="L95"/>
    </row>
    <row r="96" spans="1:12">
      <c r="A96" s="161">
        <v>95</v>
      </c>
      <c r="B96" s="37" t="s">
        <v>201</v>
      </c>
      <c r="C96" s="169" t="s">
        <v>272</v>
      </c>
      <c r="D96" s="170">
        <v>46297.583333333336</v>
      </c>
      <c r="E96" s="170">
        <v>46297.916666666664</v>
      </c>
      <c r="F96" s="10" t="str">
        <f t="shared" si="1"/>
        <v>8.0</v>
      </c>
      <c r="G96" s="208">
        <v>77499</v>
      </c>
      <c r="H96" s="205">
        <v>2270</v>
      </c>
      <c r="I96" s="166" t="s">
        <v>254</v>
      </c>
      <c r="J96" s="166" t="s">
        <v>224</v>
      </c>
      <c r="K96" s="164" t="s">
        <v>256</v>
      </c>
      <c r="L96"/>
    </row>
    <row r="97" spans="1:12">
      <c r="A97" s="161">
        <v>96</v>
      </c>
      <c r="B97" s="37" t="s">
        <v>201</v>
      </c>
      <c r="C97" s="169" t="s">
        <v>283</v>
      </c>
      <c r="D97" s="162">
        <v>46300.291666666664</v>
      </c>
      <c r="E97" s="162">
        <v>46300.666666666664</v>
      </c>
      <c r="F97" s="10" t="str">
        <f t="shared" si="1"/>
        <v>9.0</v>
      </c>
      <c r="G97" s="210">
        <v>85619</v>
      </c>
      <c r="H97" s="205">
        <v>2680</v>
      </c>
      <c r="I97" s="163" t="s">
        <v>269</v>
      </c>
      <c r="J97" s="166" t="s">
        <v>57</v>
      </c>
      <c r="K97" s="164" t="s">
        <v>45</v>
      </c>
      <c r="L97"/>
    </row>
    <row r="98" spans="1:12">
      <c r="A98" s="161">
        <v>97</v>
      </c>
      <c r="B98" s="37" t="s">
        <v>201</v>
      </c>
      <c r="C98" s="169" t="s">
        <v>272</v>
      </c>
      <c r="D98" s="170">
        <v>46301.583333333336</v>
      </c>
      <c r="E98" s="170">
        <v>46301.916666666664</v>
      </c>
      <c r="F98" s="10" t="str">
        <f t="shared" si="1"/>
        <v>8.0</v>
      </c>
      <c r="G98" s="208">
        <v>77499</v>
      </c>
      <c r="H98" s="205">
        <v>2270</v>
      </c>
      <c r="I98" s="166" t="s">
        <v>254</v>
      </c>
      <c r="J98" s="166" t="s">
        <v>254</v>
      </c>
      <c r="K98" s="164" t="s">
        <v>256</v>
      </c>
      <c r="L98"/>
    </row>
    <row r="99" spans="1:12">
      <c r="A99" s="161">
        <v>98</v>
      </c>
      <c r="B99" s="37" t="s">
        <v>201</v>
      </c>
      <c r="C99" s="157" t="s">
        <v>277</v>
      </c>
      <c r="D99" s="162">
        <v>46302.291666666664</v>
      </c>
      <c r="E99" s="162">
        <v>46302.708333333336</v>
      </c>
      <c r="F99" s="10" t="str">
        <f t="shared" si="1"/>
        <v>10.0</v>
      </c>
      <c r="G99" s="208">
        <v>91011</v>
      </c>
      <c r="H99" s="205">
        <v>2593</v>
      </c>
      <c r="I99" s="1" t="s">
        <v>84</v>
      </c>
      <c r="J99" s="1" t="s">
        <v>84</v>
      </c>
      <c r="K99" s="167" t="s">
        <v>257</v>
      </c>
      <c r="L99"/>
    </row>
    <row r="100" spans="1:12">
      <c r="A100" s="161">
        <v>99</v>
      </c>
      <c r="B100" s="37" t="s">
        <v>201</v>
      </c>
      <c r="C100" s="169" t="s">
        <v>272</v>
      </c>
      <c r="D100" s="170">
        <v>46305.583333333336</v>
      </c>
      <c r="E100" s="170">
        <v>46305.916666666664</v>
      </c>
      <c r="F100" s="10" t="str">
        <f t="shared" si="1"/>
        <v>8.0</v>
      </c>
      <c r="G100" s="208">
        <v>77499</v>
      </c>
      <c r="H100" s="205">
        <v>2270</v>
      </c>
      <c r="I100" s="166" t="s">
        <v>254</v>
      </c>
      <c r="J100" s="166" t="s">
        <v>254</v>
      </c>
      <c r="K100" s="164" t="s">
        <v>256</v>
      </c>
      <c r="L100"/>
    </row>
    <row r="101" spans="1:12">
      <c r="A101" s="161">
        <v>100</v>
      </c>
      <c r="B101" s="37" t="s">
        <v>201</v>
      </c>
      <c r="C101" s="169" t="s">
        <v>291</v>
      </c>
      <c r="D101" s="162">
        <v>46308.375</v>
      </c>
      <c r="E101" s="162">
        <v>46309.958333333336</v>
      </c>
      <c r="F101" s="10" t="str">
        <f t="shared" si="1"/>
        <v>38.0</v>
      </c>
      <c r="G101" s="210">
        <v>43524</v>
      </c>
      <c r="H101" s="205">
        <v>200</v>
      </c>
      <c r="I101" s="166" t="s">
        <v>261</v>
      </c>
      <c r="J101" s="166" t="s">
        <v>261</v>
      </c>
      <c r="K101" s="164" t="s">
        <v>285</v>
      </c>
      <c r="L101" s="201" t="s">
        <v>304</v>
      </c>
    </row>
    <row r="102" spans="1:12">
      <c r="A102" s="161">
        <v>101</v>
      </c>
      <c r="B102" s="37" t="s">
        <v>201</v>
      </c>
      <c r="C102" s="172" t="s">
        <v>283</v>
      </c>
      <c r="D102" s="170">
        <v>46309.291666666664</v>
      </c>
      <c r="E102" s="170">
        <v>46309.625</v>
      </c>
      <c r="F102" s="10" t="str">
        <f t="shared" si="1"/>
        <v>8.0</v>
      </c>
      <c r="G102" s="208">
        <v>85619</v>
      </c>
      <c r="H102" s="205">
        <v>2680</v>
      </c>
      <c r="I102" s="166" t="s">
        <v>271</v>
      </c>
      <c r="J102" s="166" t="s">
        <v>89</v>
      </c>
      <c r="K102" s="167" t="s">
        <v>271</v>
      </c>
      <c r="L102"/>
    </row>
    <row r="103" spans="1:12">
      <c r="A103" s="161">
        <v>102</v>
      </c>
      <c r="B103" s="37" t="s">
        <v>201</v>
      </c>
      <c r="C103" s="169" t="s">
        <v>283</v>
      </c>
      <c r="D103" s="162">
        <v>46313.3125</v>
      </c>
      <c r="E103" s="162">
        <v>46313.645833333336</v>
      </c>
      <c r="F103" s="10" t="str">
        <f t="shared" si="1"/>
        <v>8.0</v>
      </c>
      <c r="G103" s="210">
        <v>85619</v>
      </c>
      <c r="H103" s="205">
        <v>2680</v>
      </c>
      <c r="I103" s="163" t="s">
        <v>271</v>
      </c>
      <c r="J103" s="166" t="s">
        <v>57</v>
      </c>
      <c r="K103" s="164" t="s">
        <v>271</v>
      </c>
      <c r="L103"/>
    </row>
    <row r="104" spans="1:12">
      <c r="A104" s="161">
        <v>103</v>
      </c>
      <c r="B104" s="37" t="s">
        <v>201</v>
      </c>
      <c r="C104" s="169" t="s">
        <v>272</v>
      </c>
      <c r="D104" s="170">
        <v>46317.583333333336</v>
      </c>
      <c r="E104" s="170">
        <v>46317.916666666664</v>
      </c>
      <c r="F104" s="10" t="str">
        <f t="shared" si="1"/>
        <v>8.0</v>
      </c>
      <c r="G104" s="208">
        <v>77499</v>
      </c>
      <c r="H104" s="205">
        <v>2270</v>
      </c>
      <c r="I104" s="166" t="s">
        <v>254</v>
      </c>
      <c r="J104" s="166" t="s">
        <v>254</v>
      </c>
      <c r="K104" s="164" t="s">
        <v>256</v>
      </c>
      <c r="L104"/>
    </row>
    <row r="105" spans="1:12">
      <c r="A105" s="161">
        <v>104</v>
      </c>
      <c r="B105" s="37" t="s">
        <v>201</v>
      </c>
      <c r="C105" s="196" t="s">
        <v>292</v>
      </c>
      <c r="D105" s="170">
        <v>46318.333333333336</v>
      </c>
      <c r="E105" s="170">
        <v>46318.708333333336</v>
      </c>
      <c r="F105" s="10" t="str">
        <f t="shared" si="1"/>
        <v>9.0</v>
      </c>
      <c r="G105" s="208">
        <v>40700</v>
      </c>
      <c r="H105" s="205">
        <v>691</v>
      </c>
      <c r="I105" s="166" t="s">
        <v>263</v>
      </c>
      <c r="J105" s="166" t="s">
        <v>256</v>
      </c>
      <c r="K105" s="167" t="s">
        <v>84</v>
      </c>
      <c r="L105"/>
    </row>
    <row r="106" spans="1:12">
      <c r="A106" s="161">
        <v>105</v>
      </c>
      <c r="B106" s="37" t="s">
        <v>201</v>
      </c>
      <c r="C106" s="196" t="s">
        <v>292</v>
      </c>
      <c r="D106" s="162">
        <v>46321.375</v>
      </c>
      <c r="E106" s="162">
        <v>46321.708333333336</v>
      </c>
      <c r="F106" s="10" t="str">
        <f t="shared" si="1"/>
        <v>8.0</v>
      </c>
      <c r="G106" s="210">
        <v>40700</v>
      </c>
      <c r="H106" s="208">
        <v>691</v>
      </c>
      <c r="I106" s="163" t="s">
        <v>261</v>
      </c>
      <c r="J106" s="163" t="s">
        <v>84</v>
      </c>
      <c r="K106" s="164" t="s">
        <v>257</v>
      </c>
      <c r="L106"/>
    </row>
    <row r="107" spans="1:12">
      <c r="A107" s="161">
        <v>106</v>
      </c>
      <c r="B107" s="37" t="s">
        <v>201</v>
      </c>
      <c r="C107" s="157" t="s">
        <v>282</v>
      </c>
      <c r="D107" s="162">
        <v>46322.333333333336</v>
      </c>
      <c r="E107" s="162">
        <v>46322.708333333336</v>
      </c>
      <c r="F107" s="10" t="str">
        <f t="shared" si="1"/>
        <v>9.0</v>
      </c>
      <c r="G107" s="208">
        <v>32477</v>
      </c>
      <c r="H107" s="205">
        <v>450</v>
      </c>
      <c r="I107" s="163" t="s">
        <v>261</v>
      </c>
      <c r="J107" s="5" t="s">
        <v>293</v>
      </c>
      <c r="K107" s="167" t="s">
        <v>223</v>
      </c>
      <c r="L107"/>
    </row>
    <row r="108" spans="1:12">
      <c r="A108" s="161">
        <v>107</v>
      </c>
      <c r="B108" s="37" t="s">
        <v>201</v>
      </c>
      <c r="C108" s="169" t="s">
        <v>290</v>
      </c>
      <c r="D108" s="170">
        <v>46325.333333333336</v>
      </c>
      <c r="E108" s="170">
        <v>46325.708333333336</v>
      </c>
      <c r="F108" s="10" t="str">
        <f t="shared" si="1"/>
        <v>9.0</v>
      </c>
      <c r="G108" s="208">
        <v>52183</v>
      </c>
      <c r="H108" s="208">
        <v>744</v>
      </c>
      <c r="I108" s="163" t="s">
        <v>223</v>
      </c>
      <c r="J108" s="163" t="s">
        <v>223</v>
      </c>
      <c r="K108" s="164" t="s">
        <v>223</v>
      </c>
      <c r="L108"/>
    </row>
    <row r="109" spans="1:12">
      <c r="A109" s="161">
        <v>108</v>
      </c>
      <c r="B109" s="37" t="s">
        <v>201</v>
      </c>
      <c r="C109" s="157" t="s">
        <v>294</v>
      </c>
      <c r="D109" s="162">
        <v>46328.416666666664</v>
      </c>
      <c r="E109" s="162">
        <v>46328.708333333336</v>
      </c>
      <c r="F109" s="10" t="str">
        <f t="shared" si="1"/>
        <v>7.0</v>
      </c>
      <c r="G109" s="208">
        <v>82862</v>
      </c>
      <c r="H109" s="205">
        <v>2362</v>
      </c>
      <c r="I109" s="1" t="s">
        <v>261</v>
      </c>
      <c r="J109" s="1" t="s">
        <v>257</v>
      </c>
      <c r="K109" s="167" t="s">
        <v>256</v>
      </c>
      <c r="L109"/>
    </row>
    <row r="110" spans="1:12">
      <c r="A110" s="161">
        <v>109</v>
      </c>
      <c r="B110" s="37" t="s">
        <v>201</v>
      </c>
      <c r="C110" s="169" t="s">
        <v>272</v>
      </c>
      <c r="D110" s="170">
        <v>46329.583333333336</v>
      </c>
      <c r="E110" s="170">
        <v>46329.916666666664</v>
      </c>
      <c r="F110" s="10" t="str">
        <f t="shared" si="1"/>
        <v>8.0</v>
      </c>
      <c r="G110" s="208">
        <v>77499</v>
      </c>
      <c r="H110" s="205">
        <v>2270</v>
      </c>
      <c r="I110" s="166" t="s">
        <v>254</v>
      </c>
      <c r="J110" s="166" t="s">
        <v>254</v>
      </c>
      <c r="K110" s="164" t="s">
        <v>256</v>
      </c>
      <c r="L110"/>
    </row>
    <row r="111" spans="1:12">
      <c r="A111" s="161">
        <v>110</v>
      </c>
      <c r="B111" s="37" t="s">
        <v>201</v>
      </c>
      <c r="C111" s="169" t="s">
        <v>51</v>
      </c>
      <c r="D111" s="162">
        <v>46330.291666666664</v>
      </c>
      <c r="E111" s="162">
        <v>46330.75</v>
      </c>
      <c r="F111" s="10" t="str">
        <f t="shared" si="1"/>
        <v>11.0</v>
      </c>
      <c r="G111" s="210">
        <v>40791</v>
      </c>
      <c r="H111" s="208">
        <v>623</v>
      </c>
      <c r="I111" s="163" t="s">
        <v>261</v>
      </c>
      <c r="J111" s="163" t="s">
        <v>257</v>
      </c>
      <c r="K111" s="164" t="s">
        <v>287</v>
      </c>
      <c r="L111"/>
    </row>
    <row r="112" spans="1:12">
      <c r="A112" s="161">
        <v>111</v>
      </c>
      <c r="B112" s="37" t="s">
        <v>201</v>
      </c>
      <c r="C112" s="157" t="s">
        <v>272</v>
      </c>
      <c r="D112" s="162">
        <v>46341.458333333336</v>
      </c>
      <c r="E112" s="162">
        <v>46341.791666666664</v>
      </c>
      <c r="F112" s="10" t="str">
        <f t="shared" si="1"/>
        <v>8.0</v>
      </c>
      <c r="G112" s="208">
        <v>77499</v>
      </c>
      <c r="H112" s="205">
        <v>2270</v>
      </c>
      <c r="I112" s="5" t="s">
        <v>269</v>
      </c>
      <c r="J112" s="22" t="s">
        <v>29</v>
      </c>
      <c r="K112" s="173" t="s">
        <v>269</v>
      </c>
      <c r="L112"/>
    </row>
    <row r="113" spans="1:12">
      <c r="A113" s="161">
        <v>112</v>
      </c>
      <c r="B113" s="37" t="s">
        <v>201</v>
      </c>
      <c r="C113" s="157" t="s">
        <v>294</v>
      </c>
      <c r="D113" s="170">
        <v>46342.291666666664</v>
      </c>
      <c r="E113" s="170">
        <v>46342.583333333336</v>
      </c>
      <c r="F113" s="10" t="str">
        <f t="shared" si="1"/>
        <v>7.0</v>
      </c>
      <c r="G113" s="208">
        <v>82862</v>
      </c>
      <c r="H113" s="205">
        <v>2362</v>
      </c>
      <c r="I113" s="5" t="s">
        <v>261</v>
      </c>
      <c r="J113" s="22" t="s">
        <v>256</v>
      </c>
      <c r="K113" s="173" t="s">
        <v>254</v>
      </c>
      <c r="L113"/>
    </row>
    <row r="114" spans="1:12">
      <c r="A114" s="161">
        <v>113</v>
      </c>
      <c r="B114" s="37" t="s">
        <v>201</v>
      </c>
      <c r="C114" s="172" t="s">
        <v>295</v>
      </c>
      <c r="D114" s="170">
        <v>46346.291666666664</v>
      </c>
      <c r="E114" s="170">
        <v>46346.625</v>
      </c>
      <c r="F114" s="10" t="str">
        <f t="shared" si="1"/>
        <v>8.0</v>
      </c>
      <c r="G114" s="208">
        <v>93558</v>
      </c>
      <c r="H114" s="205">
        <v>2882</v>
      </c>
      <c r="I114" s="166" t="s">
        <v>261</v>
      </c>
      <c r="J114" s="166" t="s">
        <v>257</v>
      </c>
      <c r="K114" s="167" t="s">
        <v>84</v>
      </c>
      <c r="L114"/>
    </row>
    <row r="115" spans="1:12">
      <c r="A115" s="161">
        <v>114</v>
      </c>
      <c r="B115" s="37" t="s">
        <v>201</v>
      </c>
      <c r="C115" s="172" t="s">
        <v>295</v>
      </c>
      <c r="D115" s="162">
        <v>46348.375</v>
      </c>
      <c r="E115" s="162">
        <v>46348.708333333336</v>
      </c>
      <c r="F115" s="10" t="str">
        <f t="shared" si="1"/>
        <v>8.0</v>
      </c>
      <c r="G115" s="210">
        <v>93558</v>
      </c>
      <c r="H115" s="208">
        <v>2882</v>
      </c>
      <c r="I115" s="163" t="s">
        <v>84</v>
      </c>
      <c r="J115" s="163" t="s">
        <v>84</v>
      </c>
      <c r="K115" s="164" t="s">
        <v>257</v>
      </c>
      <c r="L115"/>
    </row>
    <row r="116" spans="1:12">
      <c r="A116" s="161">
        <v>115</v>
      </c>
      <c r="B116" s="37" t="s">
        <v>201</v>
      </c>
      <c r="C116" s="172" t="s">
        <v>272</v>
      </c>
      <c r="D116" s="170">
        <v>46351.458333333336</v>
      </c>
      <c r="E116" s="170">
        <v>46351.791666666664</v>
      </c>
      <c r="F116" s="10" t="str">
        <f t="shared" si="1"/>
        <v>8.0</v>
      </c>
      <c r="G116" s="208">
        <v>77499</v>
      </c>
      <c r="H116" s="205">
        <v>2270</v>
      </c>
      <c r="I116" s="166" t="s">
        <v>269</v>
      </c>
      <c r="J116" s="166" t="s">
        <v>255</v>
      </c>
      <c r="K116" s="167" t="s">
        <v>269</v>
      </c>
      <c r="L116"/>
    </row>
    <row r="117" spans="1:12">
      <c r="A117" s="161">
        <v>116</v>
      </c>
      <c r="B117" s="37" t="s">
        <v>201</v>
      </c>
      <c r="C117" s="172" t="s">
        <v>272</v>
      </c>
      <c r="D117" s="170">
        <v>46356.458333333336</v>
      </c>
      <c r="E117" s="170">
        <v>46356.791666666664</v>
      </c>
      <c r="F117" s="10" t="str">
        <f t="shared" si="1"/>
        <v>8.0</v>
      </c>
      <c r="G117" s="208">
        <v>77499</v>
      </c>
      <c r="H117" s="205">
        <v>2270</v>
      </c>
      <c r="I117" s="166" t="s">
        <v>269</v>
      </c>
      <c r="J117" s="166" t="s">
        <v>255</v>
      </c>
      <c r="K117" s="167" t="s">
        <v>269</v>
      </c>
      <c r="L117"/>
    </row>
    <row r="118" spans="1:12">
      <c r="A118" s="161">
        <v>117</v>
      </c>
      <c r="B118" s="37" t="s">
        <v>201</v>
      </c>
      <c r="C118" s="172" t="s">
        <v>272</v>
      </c>
      <c r="D118" s="170">
        <v>46361.458333333336</v>
      </c>
      <c r="E118" s="170">
        <v>46361.791666666664</v>
      </c>
      <c r="F118" s="10" t="str">
        <f t="shared" si="1"/>
        <v>8.0</v>
      </c>
      <c r="G118" s="208">
        <v>77499</v>
      </c>
      <c r="H118" s="205">
        <v>2270</v>
      </c>
      <c r="I118" s="166" t="s">
        <v>269</v>
      </c>
      <c r="J118" s="166" t="s">
        <v>255</v>
      </c>
      <c r="K118" s="167" t="s">
        <v>269</v>
      </c>
      <c r="L118"/>
    </row>
    <row r="119" spans="1:12">
      <c r="A119" s="161">
        <v>118</v>
      </c>
      <c r="B119" s="37" t="s">
        <v>201</v>
      </c>
      <c r="C119" s="172" t="s">
        <v>272</v>
      </c>
      <c r="D119" s="170">
        <v>46366.458333333336</v>
      </c>
      <c r="E119" s="170">
        <v>46366.791666666664</v>
      </c>
      <c r="F119" s="10" t="str">
        <f t="shared" si="1"/>
        <v>8.0</v>
      </c>
      <c r="G119" s="208">
        <v>77499</v>
      </c>
      <c r="H119" s="205">
        <v>2270</v>
      </c>
      <c r="I119" s="166" t="s">
        <v>269</v>
      </c>
      <c r="J119" s="166" t="s">
        <v>255</v>
      </c>
      <c r="K119" s="167" t="s">
        <v>269</v>
      </c>
      <c r="L119"/>
    </row>
    <row r="120" spans="1:12">
      <c r="A120" s="161">
        <v>119</v>
      </c>
      <c r="B120" s="37" t="s">
        <v>201</v>
      </c>
      <c r="C120" s="172" t="s">
        <v>272</v>
      </c>
      <c r="D120" s="170">
        <v>46371.458333333336</v>
      </c>
      <c r="E120" s="170">
        <v>46371.791666666664</v>
      </c>
      <c r="F120" s="10" t="str">
        <f t="shared" si="1"/>
        <v>8.0</v>
      </c>
      <c r="G120" s="208">
        <v>77499</v>
      </c>
      <c r="H120" s="205">
        <v>2270</v>
      </c>
      <c r="I120" s="166" t="s">
        <v>269</v>
      </c>
      <c r="J120" s="166" t="s">
        <v>13</v>
      </c>
      <c r="K120" s="167" t="s">
        <v>269</v>
      </c>
      <c r="L120"/>
    </row>
    <row r="121" spans="1:12">
      <c r="A121" s="161">
        <v>120</v>
      </c>
      <c r="B121" s="37" t="s">
        <v>201</v>
      </c>
      <c r="C121" s="197" t="s">
        <v>272</v>
      </c>
      <c r="D121" s="198">
        <v>46376.458333333336</v>
      </c>
      <c r="E121" s="198">
        <v>46376.791666666664</v>
      </c>
      <c r="F121" s="10" t="str">
        <f t="shared" ref="F121:F123" si="4">TEXT((VALUE(E121)-VALUE(D121))*24,"0.0")</f>
        <v>8.0</v>
      </c>
      <c r="G121" s="211">
        <v>77499</v>
      </c>
      <c r="H121" s="209">
        <v>2270</v>
      </c>
      <c r="I121" s="199" t="s">
        <v>269</v>
      </c>
      <c r="J121" s="199" t="s">
        <v>255</v>
      </c>
      <c r="K121" s="200" t="s">
        <v>269</v>
      </c>
      <c r="L121"/>
    </row>
    <row r="122" spans="1:12">
      <c r="A122" s="161">
        <v>121</v>
      </c>
      <c r="B122" s="37" t="s">
        <v>201</v>
      </c>
      <c r="C122" s="197" t="s">
        <v>272</v>
      </c>
      <c r="D122" s="198">
        <v>46381.458333333336</v>
      </c>
      <c r="E122" s="198">
        <v>46381.791666666664</v>
      </c>
      <c r="F122" s="10" t="str">
        <f t="shared" si="4"/>
        <v>8.0</v>
      </c>
      <c r="G122" s="211">
        <v>77499</v>
      </c>
      <c r="H122" s="209">
        <v>2270</v>
      </c>
      <c r="I122" s="199" t="s">
        <v>269</v>
      </c>
      <c r="J122" s="199" t="s">
        <v>29</v>
      </c>
      <c r="K122" s="200" t="s">
        <v>269</v>
      </c>
      <c r="L122"/>
    </row>
    <row r="123" spans="1:12">
      <c r="A123" s="161">
        <v>122</v>
      </c>
      <c r="B123" s="37" t="s">
        <v>201</v>
      </c>
      <c r="C123" s="197" t="s">
        <v>272</v>
      </c>
      <c r="D123" s="198">
        <v>46386.458333333336</v>
      </c>
      <c r="E123" s="198">
        <v>46386.791666666664</v>
      </c>
      <c r="F123" s="10" t="str">
        <f t="shared" si="4"/>
        <v>8.0</v>
      </c>
      <c r="G123" s="211">
        <v>77499</v>
      </c>
      <c r="H123" s="209">
        <v>2270</v>
      </c>
      <c r="I123" s="199" t="s">
        <v>269</v>
      </c>
      <c r="J123" s="199" t="s">
        <v>255</v>
      </c>
      <c r="K123" s="200" t="s">
        <v>269</v>
      </c>
      <c r="L123"/>
    </row>
  </sheetData>
  <autoFilter ref="A1:K123" xr:uid="{4F53DE78-A35D-4D78-B002-32263CB535C3}"/>
  <phoneticPr fontId="3" type="noConversion"/>
  <conditionalFormatting sqref="C83:C84">
    <cfRule type="expression" dxfId="450" priority="141">
      <formula>#REF!="Cancelled"</formula>
    </cfRule>
    <cfRule type="expression" dxfId="449" priority="142">
      <formula>#REF!="Done"</formula>
    </cfRule>
  </conditionalFormatting>
  <conditionalFormatting sqref="C108:C109">
    <cfRule type="expression" dxfId="448" priority="101">
      <formula>#REF!="Cancelled"</formula>
    </cfRule>
    <cfRule type="expression" dxfId="447" priority="102">
      <formula>#REF!="Done"</formula>
    </cfRule>
  </conditionalFormatting>
  <conditionalFormatting sqref="C115:C123">
    <cfRule type="expression" dxfId="446" priority="23">
      <formula>#REF!="Cancelled"</formula>
    </cfRule>
    <cfRule type="expression" dxfId="445" priority="24">
      <formula>#REF!="Done"</formula>
    </cfRule>
  </conditionalFormatting>
  <conditionalFormatting sqref="C24:E26">
    <cfRule type="expression" dxfId="444" priority="314">
      <formula>#REF!="Done"</formula>
    </cfRule>
    <cfRule type="expression" dxfId="443" priority="313">
      <formula>#REF!="Cancelled"</formula>
    </cfRule>
  </conditionalFormatting>
  <conditionalFormatting sqref="C29:E35">
    <cfRule type="expression" dxfId="442" priority="298">
      <formula>#REF!="Done"</formula>
    </cfRule>
    <cfRule type="expression" dxfId="441" priority="297">
      <formula>#REF!="Cancelled"</formula>
    </cfRule>
  </conditionalFormatting>
  <conditionalFormatting sqref="C37:E42">
    <cfRule type="expression" dxfId="440" priority="272">
      <formula>#REF!="Done"</formula>
    </cfRule>
    <cfRule type="expression" dxfId="439" priority="271">
      <formula>#REF!="Cancelled"</formula>
    </cfRule>
  </conditionalFormatting>
  <conditionalFormatting sqref="C44:E45">
    <cfRule type="expression" dxfId="438" priority="263">
      <formula>#REF!="Cancelled"</formula>
    </cfRule>
    <cfRule type="expression" dxfId="437" priority="264">
      <formula>#REF!="Done"</formula>
    </cfRule>
  </conditionalFormatting>
  <conditionalFormatting sqref="C47:E51">
    <cfRule type="expression" dxfId="436" priority="252">
      <formula>#REF!="Done"</formula>
    </cfRule>
    <cfRule type="expression" dxfId="435" priority="251">
      <formula>#REF!="Cancelled"</formula>
    </cfRule>
  </conditionalFormatting>
  <conditionalFormatting sqref="C53:E56">
    <cfRule type="expression" dxfId="434" priority="240">
      <formula>#REF!="Done"</formula>
    </cfRule>
    <cfRule type="expression" dxfId="433" priority="239">
      <formula>#REF!="Cancelled"</formula>
    </cfRule>
  </conditionalFormatting>
  <conditionalFormatting sqref="C61:E61">
    <cfRule type="expression" dxfId="432" priority="232">
      <formula>#REF!="Done"</formula>
    </cfRule>
    <cfRule type="expression" dxfId="431" priority="231">
      <formula>#REF!="Cancelled"</formula>
    </cfRule>
  </conditionalFormatting>
  <conditionalFormatting sqref="C65:E66">
    <cfRule type="expression" dxfId="430" priority="214">
      <formula>#REF!="Done"</formula>
    </cfRule>
    <cfRule type="expression" dxfId="429" priority="213">
      <formula>#REF!="Cancelled"</formula>
    </cfRule>
  </conditionalFormatting>
  <conditionalFormatting sqref="C68:E68">
    <cfRule type="expression" dxfId="428" priority="2">
      <formula>#REF!="Done"</formula>
    </cfRule>
    <cfRule type="expression" dxfId="427" priority="1">
      <formula>#REF!="Cancelled"</formula>
    </cfRule>
  </conditionalFormatting>
  <conditionalFormatting sqref="C70:E71">
    <cfRule type="expression" dxfId="426" priority="185">
      <formula>#REF!="Cancelled"</formula>
    </cfRule>
    <cfRule type="expression" dxfId="425" priority="186">
      <formula>#REF!="Done"</formula>
    </cfRule>
  </conditionalFormatting>
  <conditionalFormatting sqref="C73:E74">
    <cfRule type="expression" dxfId="424" priority="177">
      <formula>#REF!="Cancelled"</formula>
    </cfRule>
    <cfRule type="expression" dxfId="423" priority="178">
      <formula>#REF!="Done"</formula>
    </cfRule>
  </conditionalFormatting>
  <conditionalFormatting sqref="C77:E77">
    <cfRule type="expression" dxfId="422" priority="164">
      <formula>#REF!="Done"</formula>
    </cfRule>
    <cfRule type="expression" dxfId="421" priority="163">
      <formula>#REF!="Cancelled"</formula>
    </cfRule>
  </conditionalFormatting>
  <conditionalFormatting sqref="C79:E79">
    <cfRule type="expression" dxfId="420" priority="157">
      <formula>#REF!="Cancelled"</formula>
    </cfRule>
    <cfRule type="expression" dxfId="419" priority="158">
      <formula>#REF!="Done"</formula>
    </cfRule>
  </conditionalFormatting>
  <conditionalFormatting sqref="C81:E81">
    <cfRule type="expression" dxfId="418" priority="149">
      <formula>#REF!="Cancelled"</formula>
    </cfRule>
    <cfRule type="expression" dxfId="417" priority="150">
      <formula>#REF!="Done"</formula>
    </cfRule>
  </conditionalFormatting>
  <conditionalFormatting sqref="C86:E86 J86:K86">
    <cfRule type="expression" dxfId="416" priority="7">
      <formula>#REF!="Cancelled"</formula>
    </cfRule>
    <cfRule type="expression" dxfId="415" priority="8">
      <formula>#REF!="Done"</formula>
    </cfRule>
  </conditionalFormatting>
  <conditionalFormatting sqref="C112:E114">
    <cfRule type="expression" dxfId="414" priority="73">
      <formula>#REF!="Cancelled"</formula>
    </cfRule>
    <cfRule type="expression" dxfId="413" priority="74">
      <formula>#REF!="Done"</formula>
    </cfRule>
  </conditionalFormatting>
  <conditionalFormatting sqref="D115">
    <cfRule type="duplicateValues" dxfId="412" priority="67"/>
  </conditionalFormatting>
  <conditionalFormatting sqref="D116">
    <cfRule type="duplicateValues" dxfId="411" priority="55"/>
    <cfRule type="duplicateValues" dxfId="410" priority="57"/>
  </conditionalFormatting>
  <conditionalFormatting sqref="D117">
    <cfRule type="duplicateValues" dxfId="409" priority="48"/>
  </conditionalFormatting>
  <conditionalFormatting sqref="D118">
    <cfRule type="duplicateValues" dxfId="408" priority="41"/>
  </conditionalFormatting>
  <conditionalFormatting sqref="D119">
    <cfRule type="duplicateValues" dxfId="407" priority="34"/>
  </conditionalFormatting>
  <conditionalFormatting sqref="D120">
    <cfRule type="duplicateValues" dxfId="406" priority="27"/>
  </conditionalFormatting>
  <conditionalFormatting sqref="D121:D123 D115">
    <cfRule type="duplicateValues" dxfId="405" priority="71"/>
  </conditionalFormatting>
  <conditionalFormatting sqref="D62:E63">
    <cfRule type="expression" dxfId="404" priority="230">
      <formula>#REF!="Done"</formula>
    </cfRule>
    <cfRule type="expression" dxfId="403" priority="229">
      <formula>#REF!="Cancelled"</formula>
    </cfRule>
  </conditionalFormatting>
  <conditionalFormatting sqref="D83:E83">
    <cfRule type="expression" dxfId="402" priority="137">
      <formula>#REF!="Cancelled"</formula>
    </cfRule>
    <cfRule type="expression" dxfId="401" priority="138">
      <formula>#REF!="Done"</formula>
    </cfRule>
  </conditionalFormatting>
  <conditionalFormatting sqref="D88:E88">
    <cfRule type="expression" dxfId="400" priority="134">
      <formula>#REF!="Done"</formula>
    </cfRule>
    <cfRule type="expression" dxfId="399" priority="133">
      <formula>#REF!="Cancelled"</formula>
    </cfRule>
  </conditionalFormatting>
  <conditionalFormatting sqref="D90:E90">
    <cfRule type="expression" dxfId="398" priority="130">
      <formula>#REF!="Done"</formula>
    </cfRule>
    <cfRule type="expression" dxfId="397" priority="129">
      <formula>#REF!="Cancelled"</formula>
    </cfRule>
  </conditionalFormatting>
  <conditionalFormatting sqref="D92:E92">
    <cfRule type="expression" dxfId="396" priority="125">
      <formula>#REF!="Cancelled"</formula>
    </cfRule>
    <cfRule type="expression" dxfId="395" priority="126">
      <formula>#REF!="Done"</formula>
    </cfRule>
  </conditionalFormatting>
  <conditionalFormatting sqref="D94:E94">
    <cfRule type="expression" dxfId="394" priority="122">
      <formula>#REF!="Done"</formula>
    </cfRule>
    <cfRule type="expression" dxfId="393" priority="121">
      <formula>#REF!="Cancelled"</formula>
    </cfRule>
  </conditionalFormatting>
  <conditionalFormatting sqref="D96:E96">
    <cfRule type="expression" dxfId="392" priority="118">
      <formula>#REF!="Done"</formula>
    </cfRule>
    <cfRule type="expression" dxfId="391" priority="117">
      <formula>#REF!="Cancelled"</formula>
    </cfRule>
  </conditionalFormatting>
  <conditionalFormatting sqref="D98:E98">
    <cfRule type="expression" dxfId="390" priority="113">
      <formula>#REF!="Cancelled"</formula>
    </cfRule>
    <cfRule type="expression" dxfId="389" priority="114">
      <formula>#REF!="Done"</formula>
    </cfRule>
  </conditionalFormatting>
  <conditionalFormatting sqref="D100:E100">
    <cfRule type="expression" dxfId="388" priority="109">
      <formula>#REF!="Cancelled"</formula>
    </cfRule>
    <cfRule type="expression" dxfId="387" priority="110">
      <formula>#REF!="Done"</formula>
    </cfRule>
  </conditionalFormatting>
  <conditionalFormatting sqref="D104:E104">
    <cfRule type="expression" dxfId="386" priority="9">
      <formula>#REF!="Cancelled"</formula>
    </cfRule>
    <cfRule type="expression" dxfId="385" priority="10">
      <formula>#REF!="Done"</formula>
    </cfRule>
  </conditionalFormatting>
  <conditionalFormatting sqref="D106:E106">
    <cfRule type="expression" dxfId="384" priority="108">
      <formula>#REF!="Done"</formula>
    </cfRule>
    <cfRule type="expression" dxfId="383" priority="107">
      <formula>#REF!="Cancelled"</formula>
    </cfRule>
  </conditionalFormatting>
  <conditionalFormatting sqref="D108:E108">
    <cfRule type="expression" dxfId="382" priority="98">
      <formula>#REF!="Done"</formula>
    </cfRule>
    <cfRule type="expression" dxfId="381" priority="97">
      <formula>#REF!="Cancelled"</formula>
    </cfRule>
  </conditionalFormatting>
  <conditionalFormatting sqref="D110:E110">
    <cfRule type="expression" dxfId="380" priority="90">
      <formula>#REF!="Done"</formula>
    </cfRule>
    <cfRule type="expression" dxfId="379" priority="89">
      <formula>#REF!="Cancelled"</formula>
    </cfRule>
  </conditionalFormatting>
  <conditionalFormatting sqref="D115:E123">
    <cfRule type="cellIs" dxfId="378" priority="25" operator="equal">
      <formula>46204.5</formula>
    </cfRule>
  </conditionalFormatting>
  <conditionalFormatting sqref="E115">
    <cfRule type="duplicateValues" dxfId="377" priority="65"/>
  </conditionalFormatting>
  <conditionalFormatting sqref="E116">
    <cfRule type="duplicateValues" dxfId="376" priority="56"/>
    <cfRule type="duplicateValues" dxfId="375" priority="58"/>
  </conditionalFormatting>
  <conditionalFormatting sqref="E117">
    <cfRule type="duplicateValues" dxfId="374" priority="49"/>
  </conditionalFormatting>
  <conditionalFormatting sqref="E118">
    <cfRule type="duplicateValues" dxfId="373" priority="42"/>
  </conditionalFormatting>
  <conditionalFormatting sqref="E119">
    <cfRule type="duplicateValues" dxfId="372" priority="35"/>
  </conditionalFormatting>
  <conditionalFormatting sqref="E120">
    <cfRule type="duplicateValues" dxfId="371" priority="28"/>
  </conditionalFormatting>
  <conditionalFormatting sqref="E121:E123 E115">
    <cfRule type="duplicateValues" dxfId="370" priority="72"/>
  </conditionalFormatting>
  <conditionalFormatting sqref="I32">
    <cfRule type="expression" dxfId="369" priority="305">
      <formula>#REF!="Cancelled"</formula>
    </cfRule>
    <cfRule type="expression" dxfId="368" priority="306">
      <formula>#REF!="Done"</formula>
    </cfRule>
  </conditionalFormatting>
  <conditionalFormatting sqref="I70:J70">
    <cfRule type="expression" dxfId="367" priority="197">
      <formula>#REF!="Cancelled"</formula>
    </cfRule>
    <cfRule type="expression" dxfId="366" priority="198">
      <formula>#REF!="Done"</formula>
    </cfRule>
  </conditionalFormatting>
  <conditionalFormatting sqref="I24:K24">
    <cfRule type="expression" dxfId="365" priority="319">
      <formula>#REF!="Cancelled"</formula>
    </cfRule>
    <cfRule type="expression" dxfId="364" priority="320">
      <formula>#REF!="Done"</formula>
    </cfRule>
  </conditionalFormatting>
  <conditionalFormatting sqref="J37:J38">
    <cfRule type="expression" dxfId="363" priority="281">
      <formula>#REF!="Cancelled"</formula>
    </cfRule>
    <cfRule type="expression" dxfId="362" priority="282">
      <formula>#REF!="Done"</formula>
    </cfRule>
  </conditionalFormatting>
  <conditionalFormatting sqref="J65">
    <cfRule type="expression" dxfId="361" priority="222">
      <formula>#REF!="Done"</formula>
    </cfRule>
    <cfRule type="expression" dxfId="360" priority="221">
      <formula>#REF!="Cancelled"</formula>
    </cfRule>
  </conditionalFormatting>
  <conditionalFormatting sqref="J74">
    <cfRule type="expression" dxfId="359" priority="174">
      <formula>#REF!="Done"</formula>
    </cfRule>
    <cfRule type="expression" dxfId="358" priority="173">
      <formula>#REF!="Cancelled"</formula>
    </cfRule>
  </conditionalFormatting>
  <conditionalFormatting sqref="J77">
    <cfRule type="expression" dxfId="357" priority="165">
      <formula>#REF!="Cancelled"</formula>
    </cfRule>
    <cfRule type="expression" dxfId="356" priority="166">
      <formula>#REF!="Done"</formula>
    </cfRule>
  </conditionalFormatting>
  <conditionalFormatting sqref="J79">
    <cfRule type="expression" dxfId="355" priority="160">
      <formula>#REF!="Done"</formula>
    </cfRule>
    <cfRule type="expression" dxfId="354" priority="159">
      <formula>#REF!="Cancelled"</formula>
    </cfRule>
  </conditionalFormatting>
  <conditionalFormatting sqref="J81:J83">
    <cfRule type="expression" dxfId="353" priority="140">
      <formula>#REF!="Done"</formula>
    </cfRule>
    <cfRule type="expression" dxfId="352" priority="139">
      <formula>#REF!="Cancelled"</formula>
    </cfRule>
  </conditionalFormatting>
  <conditionalFormatting sqref="J88">
    <cfRule type="expression" dxfId="351" priority="136">
      <formula>#REF!="Done"</formula>
    </cfRule>
    <cfRule type="expression" dxfId="350" priority="135">
      <formula>#REF!="Cancelled"</formula>
    </cfRule>
  </conditionalFormatting>
  <conditionalFormatting sqref="J90">
    <cfRule type="expression" dxfId="349" priority="132">
      <formula>#REF!="Done"</formula>
    </cfRule>
    <cfRule type="expression" dxfId="348" priority="131">
      <formula>#REF!="Cancelled"</formula>
    </cfRule>
  </conditionalFormatting>
  <conditionalFormatting sqref="J92">
    <cfRule type="expression" dxfId="347" priority="127">
      <formula>#REF!="Cancelled"</formula>
    </cfRule>
    <cfRule type="expression" dxfId="346" priority="128">
      <formula>#REF!="Done"</formula>
    </cfRule>
  </conditionalFormatting>
  <conditionalFormatting sqref="J94">
    <cfRule type="expression" dxfId="345" priority="123">
      <formula>#REF!="Cancelled"</formula>
    </cfRule>
    <cfRule type="expression" dxfId="344" priority="124">
      <formula>#REF!="Done"</formula>
    </cfRule>
  </conditionalFormatting>
  <conditionalFormatting sqref="J96">
    <cfRule type="expression" dxfId="343" priority="120">
      <formula>#REF!="Done"</formula>
    </cfRule>
    <cfRule type="expression" dxfId="342" priority="119">
      <formula>#REF!="Cancelled"</formula>
    </cfRule>
  </conditionalFormatting>
  <conditionalFormatting sqref="J98">
    <cfRule type="expression" dxfId="341" priority="116">
      <formula>#REF!="Done"</formula>
    </cfRule>
    <cfRule type="expression" dxfId="340" priority="115">
      <formula>#REF!="Cancelled"</formula>
    </cfRule>
  </conditionalFormatting>
  <conditionalFormatting sqref="J100">
    <cfRule type="expression" dxfId="339" priority="111">
      <formula>#REF!="Cancelled"</formula>
    </cfRule>
    <cfRule type="expression" dxfId="338" priority="112">
      <formula>#REF!="Done"</formula>
    </cfRule>
  </conditionalFormatting>
  <conditionalFormatting sqref="J104">
    <cfRule type="expression" dxfId="337" priority="12">
      <formula>#REF!="Done"</formula>
    </cfRule>
    <cfRule type="expression" dxfId="336" priority="11">
      <formula>#REF!="Cancelled"</formula>
    </cfRule>
  </conditionalFormatting>
  <conditionalFormatting sqref="J109:J111">
    <cfRule type="expression" dxfId="335" priority="92">
      <formula>#REF!="Done"</formula>
    </cfRule>
    <cfRule type="expression" dxfId="334" priority="91">
      <formula>#REF!="Cancelled"</formula>
    </cfRule>
  </conditionalFormatting>
  <conditionalFormatting sqref="J29:K29 K30 J44 J47:K47 J51:K51 J56:K56 C58:E58 J58:K58 C62 J62:K62 K72 C99">
    <cfRule type="expression" dxfId="333" priority="328">
      <formula>#REF!="Done"</formula>
    </cfRule>
    <cfRule type="expression" dxfId="332" priority="327">
      <formula>#REF!="Cancelled"</formula>
    </cfRule>
  </conditionalFormatting>
  <conditionalFormatting sqref="J31:K34">
    <cfRule type="expression" dxfId="331" priority="316">
      <formula>#REF!="Done"</formula>
    </cfRule>
    <cfRule type="expression" dxfId="330" priority="315">
      <formula>#REF!="Cancelled"</formula>
    </cfRule>
  </conditionalFormatting>
  <conditionalFormatting sqref="J71:K71">
    <cfRule type="expression" dxfId="329" priority="187">
      <formula>#REF!="Cancelled"</formula>
    </cfRule>
    <cfRule type="expression" dxfId="328" priority="188">
      <formula>#REF!="Done"</formula>
    </cfRule>
  </conditionalFormatting>
  <conditionalFormatting sqref="J73:K73">
    <cfRule type="expression" dxfId="327" priority="182">
      <formula>#REF!="Done"</formula>
    </cfRule>
    <cfRule type="expression" dxfId="326" priority="181">
      <formula>#REF!="Cancelled"</formula>
    </cfRule>
  </conditionalFormatting>
  <conditionalFormatting sqref="J106:K106">
    <cfRule type="expression" dxfId="325" priority="104">
      <formula>#REF!="Done"</formula>
    </cfRule>
    <cfRule type="expression" dxfId="324" priority="103">
      <formula>#REF!="Cancelled"</formula>
    </cfRule>
  </conditionalFormatting>
  <conditionalFormatting sqref="K6:K9">
    <cfRule type="expression" dxfId="323" priority="325">
      <formula>#REF!="Cancelled"</formula>
    </cfRule>
    <cfRule type="expression" dxfId="322" priority="326">
      <formula>#REF!="Done"</formula>
    </cfRule>
  </conditionalFormatting>
  <conditionalFormatting sqref="K23 J40:K41">
    <cfRule type="expression" dxfId="321" priority="321">
      <formula>#REF!="Cancelled"</formula>
    </cfRule>
    <cfRule type="expression" dxfId="320" priority="322">
      <formula>#REF!="Done"</formula>
    </cfRule>
  </conditionalFormatting>
  <conditionalFormatting sqref="K26:K28">
    <cfRule type="expression" dxfId="319" priority="20">
      <formula>#REF!="Done"</formula>
    </cfRule>
    <cfRule type="expression" dxfId="318" priority="19">
      <formula>#REF!="Cancelled"</formula>
    </cfRule>
  </conditionalFormatting>
  <conditionalFormatting sqref="K37:K39">
    <cfRule type="expression" dxfId="317" priority="275">
      <formula>#REF!="Cancelled"</formula>
    </cfRule>
    <cfRule type="expression" dxfId="316" priority="276">
      <formula>#REF!="Done"</formula>
    </cfRule>
  </conditionalFormatting>
  <conditionalFormatting sqref="K42:K46">
    <cfRule type="expression" dxfId="315" priority="261">
      <formula>#REF!="Cancelled"</formula>
    </cfRule>
    <cfRule type="expression" dxfId="314" priority="262">
      <formula>#REF!="Done"</formula>
    </cfRule>
  </conditionalFormatting>
  <conditionalFormatting sqref="K48">
    <cfRule type="expression" dxfId="313" priority="257">
      <formula>#REF!="Cancelled"</formula>
    </cfRule>
    <cfRule type="expression" dxfId="312" priority="258">
      <formula>#REF!="Done"</formula>
    </cfRule>
  </conditionalFormatting>
  <conditionalFormatting sqref="K50">
    <cfRule type="expression" dxfId="311" priority="253">
      <formula>#REF!="Cancelled"</formula>
    </cfRule>
    <cfRule type="expression" dxfId="310" priority="254">
      <formula>#REF!="Done"</formula>
    </cfRule>
  </conditionalFormatting>
  <conditionalFormatting sqref="K52:K55">
    <cfRule type="expression" dxfId="309" priority="238">
      <formula>#REF!="Done"</formula>
    </cfRule>
    <cfRule type="expression" dxfId="308" priority="237">
      <formula>#REF!="Cancelled"</formula>
    </cfRule>
  </conditionalFormatting>
  <conditionalFormatting sqref="K60">
    <cfRule type="expression" dxfId="307" priority="235">
      <formula>#REF!="Cancelled"</formula>
    </cfRule>
    <cfRule type="expression" dxfId="306" priority="236">
      <formula>#REF!="Done"</formula>
    </cfRule>
  </conditionalFormatting>
  <conditionalFormatting sqref="K65:K66">
    <cfRule type="expression" dxfId="305" priority="216">
      <formula>#REF!="Done"</formula>
    </cfRule>
    <cfRule type="expression" dxfId="304" priority="215">
      <formula>#REF!="Cancelled"</formula>
    </cfRule>
  </conditionalFormatting>
  <conditionalFormatting sqref="K68">
    <cfRule type="expression" dxfId="303" priority="4">
      <formula>#REF!="Done"</formula>
    </cfRule>
    <cfRule type="expression" dxfId="302" priority="3">
      <formula>#REF!="Cancelled"</formula>
    </cfRule>
  </conditionalFormatting>
  <conditionalFormatting sqref="K74:K76">
    <cfRule type="expression" dxfId="301" priority="170">
      <formula>#REF!="Done"</formula>
    </cfRule>
    <cfRule type="expression" dxfId="300" priority="169">
      <formula>#REF!="Cancelled"</formula>
    </cfRule>
  </conditionalFormatting>
  <conditionalFormatting sqref="K80">
    <cfRule type="expression" dxfId="299" priority="155">
      <formula>#REF!="Cancelled"</formula>
    </cfRule>
    <cfRule type="expression" dxfId="298" priority="156">
      <formula>#REF!="Done"</formula>
    </cfRule>
  </conditionalFormatting>
  <conditionalFormatting sqref="K82">
    <cfRule type="expression" dxfId="297" priority="145">
      <formula>#REF!="Cancelled"</formula>
    </cfRule>
    <cfRule type="expression" dxfId="296" priority="146">
      <formula>#REF!="Done"</formula>
    </cfRule>
  </conditionalFormatting>
  <conditionalFormatting sqref="K112:K123">
    <cfRule type="expression" dxfId="295" priority="21">
      <formula>#REF!="Cancelled"</formula>
    </cfRule>
    <cfRule type="expression" dxfId="294" priority="22">
      <formula>#REF!="Done"</formula>
    </cfRule>
  </conditionalFormatting>
  <pageMargins left="0.7" right="0.7" top="0.75" bottom="0.75" header="0.3" footer="0.3"/>
  <pageSetup paperSize="9"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7E8E-4372-4609-87BA-326C296BDD68}">
  <dimension ref="A1:L200"/>
  <sheetViews>
    <sheetView tabSelected="1" view="pageBreakPreview" zoomScaleNormal="100" zoomScaleSheetLayoutView="100" workbookViewId="0">
      <pane ySplit="1" topLeftCell="A95" activePane="bottomLeft" state="frozen"/>
      <selection pane="bottomLeft" activeCell="C102" sqref="C102"/>
    </sheetView>
  </sheetViews>
  <sheetFormatPr defaultColWidth="9" defaultRowHeight="17.399999999999999"/>
  <cols>
    <col min="1" max="1" width="9" style="156"/>
    <col min="2" max="2" width="7.5" style="155" bestFit="1" customWidth="1"/>
    <col min="3" max="3" width="22.3984375" style="155" bestFit="1" customWidth="1"/>
    <col min="4" max="5" width="16.59765625" style="159" bestFit="1" customWidth="1"/>
    <col min="6" max="6" width="9.59765625" style="155" customWidth="1"/>
    <col min="7" max="7" width="9.3984375" style="206" bestFit="1" customWidth="1"/>
    <col min="8" max="8" width="9" style="206"/>
    <col min="9" max="9" width="15.3984375" style="155" bestFit="1" customWidth="1"/>
    <col min="10" max="10" width="15.5" style="155" bestFit="1" customWidth="1"/>
    <col min="11" max="11" width="15.3984375" style="155" bestFit="1" customWidth="1"/>
    <col min="12" max="12" width="16.59765625" style="155" bestFit="1" customWidth="1"/>
    <col min="13" max="16384" width="9" style="155"/>
  </cols>
  <sheetData>
    <row r="1" spans="1:12" ht="34.799999999999997">
      <c r="A1" s="181" t="s">
        <v>213</v>
      </c>
      <c r="B1" s="181" t="s">
        <v>214</v>
      </c>
      <c r="C1" s="157" t="s">
        <v>196</v>
      </c>
      <c r="D1" s="182" t="s">
        <v>215</v>
      </c>
      <c r="E1" s="182" t="s">
        <v>216</v>
      </c>
      <c r="F1" s="157" t="s">
        <v>220</v>
      </c>
      <c r="G1" s="180" t="s">
        <v>4</v>
      </c>
      <c r="H1" s="180" t="s">
        <v>5</v>
      </c>
      <c r="I1" s="157" t="s">
        <v>219</v>
      </c>
      <c r="J1" s="157" t="s">
        <v>217</v>
      </c>
      <c r="K1" s="157" t="s">
        <v>218</v>
      </c>
    </row>
    <row r="2" spans="1:12" s="158" customFormat="1">
      <c r="A2" s="214">
        <v>1</v>
      </c>
      <c r="B2" s="37" t="s">
        <v>303</v>
      </c>
      <c r="C2" s="166" t="s">
        <v>75</v>
      </c>
      <c r="D2" s="170">
        <v>46026.541666666664</v>
      </c>
      <c r="E2" s="170">
        <v>46026.875</v>
      </c>
      <c r="F2" s="10" t="str">
        <f>TEXT((VALUE(E2)-VALUE(D2))*24,"0.0")</f>
        <v>8.0</v>
      </c>
      <c r="G2" s="208">
        <v>136201</v>
      </c>
      <c r="H2" s="205">
        <v>5246</v>
      </c>
      <c r="I2" s="166" t="s">
        <v>254</v>
      </c>
      <c r="J2" s="166" t="s">
        <v>254</v>
      </c>
      <c r="K2" s="167" t="s">
        <v>57</v>
      </c>
      <c r="L2"/>
    </row>
    <row r="3" spans="1:12" s="158" customFormat="1">
      <c r="A3" s="214">
        <v>2</v>
      </c>
      <c r="B3" s="37" t="s">
        <v>303</v>
      </c>
      <c r="C3" s="166" t="s">
        <v>225</v>
      </c>
      <c r="D3" s="170">
        <v>46030.541666666664</v>
      </c>
      <c r="E3" s="170">
        <v>46030.875</v>
      </c>
      <c r="F3" s="10" t="str">
        <f t="shared" ref="F3:F57" si="0">TEXT((VALUE(E3)-VALUE(D3))*24,"0.0")</f>
        <v>8.0</v>
      </c>
      <c r="G3" s="208">
        <v>136201</v>
      </c>
      <c r="H3" s="205">
        <v>5246</v>
      </c>
      <c r="I3" s="166" t="s">
        <v>254</v>
      </c>
      <c r="J3" s="166" t="s">
        <v>254</v>
      </c>
      <c r="K3" s="167" t="s">
        <v>57</v>
      </c>
      <c r="L3"/>
    </row>
    <row r="4" spans="1:12" s="158" customFormat="1">
      <c r="A4" s="214">
        <v>3</v>
      </c>
      <c r="B4" s="37" t="s">
        <v>303</v>
      </c>
      <c r="C4" s="166" t="s">
        <v>225</v>
      </c>
      <c r="D4" s="170">
        <v>46034.541666666664</v>
      </c>
      <c r="E4" s="170">
        <v>46034.875</v>
      </c>
      <c r="F4" s="10" t="str">
        <f t="shared" si="0"/>
        <v>8.0</v>
      </c>
      <c r="G4" s="208">
        <v>136201</v>
      </c>
      <c r="H4" s="205">
        <v>5246</v>
      </c>
      <c r="I4" s="166" t="s">
        <v>254</v>
      </c>
      <c r="J4" s="166" t="s">
        <v>254</v>
      </c>
      <c r="K4" s="167" t="s">
        <v>57</v>
      </c>
      <c r="L4"/>
    </row>
    <row r="5" spans="1:12" s="158" customFormat="1">
      <c r="A5" s="214">
        <v>4</v>
      </c>
      <c r="B5" s="37" t="s">
        <v>303</v>
      </c>
      <c r="C5" s="166" t="s">
        <v>225</v>
      </c>
      <c r="D5" s="170">
        <v>46038.541666666664</v>
      </c>
      <c r="E5" s="170">
        <v>46038.875</v>
      </c>
      <c r="F5" s="10" t="str">
        <f t="shared" si="0"/>
        <v>8.0</v>
      </c>
      <c r="G5" s="208">
        <v>136201</v>
      </c>
      <c r="H5" s="205">
        <v>5246</v>
      </c>
      <c r="I5" s="166" t="s">
        <v>254</v>
      </c>
      <c r="J5" s="166" t="s">
        <v>254</v>
      </c>
      <c r="K5" s="167" t="s">
        <v>57</v>
      </c>
      <c r="L5"/>
    </row>
    <row r="6" spans="1:12" s="158" customFormat="1">
      <c r="A6" s="214">
        <v>5</v>
      </c>
      <c r="B6" s="37" t="s">
        <v>303</v>
      </c>
      <c r="C6" s="169" t="s">
        <v>225</v>
      </c>
      <c r="D6" s="162">
        <v>46042.541666666664</v>
      </c>
      <c r="E6" s="162">
        <v>46042.875</v>
      </c>
      <c r="F6" s="10" t="str">
        <f t="shared" si="0"/>
        <v>8.0</v>
      </c>
      <c r="G6" s="210">
        <v>136201</v>
      </c>
      <c r="H6" s="208">
        <v>5246</v>
      </c>
      <c r="I6" s="163" t="s">
        <v>254</v>
      </c>
      <c r="J6" s="163" t="s">
        <v>254</v>
      </c>
      <c r="K6" s="164" t="s">
        <v>57</v>
      </c>
      <c r="L6"/>
    </row>
    <row r="7" spans="1:12" s="158" customFormat="1">
      <c r="A7" s="214">
        <v>6</v>
      </c>
      <c r="B7" s="37" t="s">
        <v>303</v>
      </c>
      <c r="C7" s="172" t="s">
        <v>75</v>
      </c>
      <c r="D7" s="170">
        <v>46046.541666666664</v>
      </c>
      <c r="E7" s="170">
        <v>46046.875</v>
      </c>
      <c r="F7" s="10" t="str">
        <f t="shared" si="0"/>
        <v>8.0</v>
      </c>
      <c r="G7" s="208">
        <v>136201</v>
      </c>
      <c r="H7" s="205">
        <v>5246</v>
      </c>
      <c r="I7" s="166" t="s">
        <v>254</v>
      </c>
      <c r="J7" s="166" t="s">
        <v>254</v>
      </c>
      <c r="K7" s="167" t="s">
        <v>57</v>
      </c>
      <c r="L7"/>
    </row>
    <row r="8" spans="1:12" s="158" customFormat="1">
      <c r="A8" s="214">
        <v>7</v>
      </c>
      <c r="B8" s="37" t="s">
        <v>303</v>
      </c>
      <c r="C8" s="172" t="s">
        <v>225</v>
      </c>
      <c r="D8" s="170">
        <v>46050.541666666664</v>
      </c>
      <c r="E8" s="170">
        <v>46051.916666666664</v>
      </c>
      <c r="F8" s="10" t="str">
        <f t="shared" si="0"/>
        <v>33.0</v>
      </c>
      <c r="G8" s="208">
        <v>136201</v>
      </c>
      <c r="H8" s="208">
        <v>5246</v>
      </c>
      <c r="I8" s="166" t="s">
        <v>254</v>
      </c>
      <c r="J8" s="166" t="s">
        <v>254</v>
      </c>
      <c r="K8" s="167" t="s">
        <v>254</v>
      </c>
      <c r="L8" s="201" t="s">
        <v>304</v>
      </c>
    </row>
    <row r="9" spans="1:12" s="158" customFormat="1">
      <c r="A9" s="214">
        <v>8</v>
      </c>
      <c r="B9" s="37" t="s">
        <v>320</v>
      </c>
      <c r="C9" s="172" t="s">
        <v>296</v>
      </c>
      <c r="D9" s="170">
        <v>46050.625</v>
      </c>
      <c r="E9" s="170">
        <v>46050.916666666664</v>
      </c>
      <c r="F9" s="10" t="str">
        <f t="shared" si="0"/>
        <v>7.0</v>
      </c>
      <c r="G9" s="208">
        <v>171598</v>
      </c>
      <c r="H9" s="205">
        <v>5686</v>
      </c>
      <c r="I9" s="166" t="s">
        <v>254</v>
      </c>
      <c r="J9" s="166" t="s">
        <v>254</v>
      </c>
      <c r="K9" s="167" t="s">
        <v>256</v>
      </c>
      <c r="L9"/>
    </row>
    <row r="10" spans="1:12" s="158" customFormat="1">
      <c r="A10" s="214">
        <v>9</v>
      </c>
      <c r="B10" s="37" t="s">
        <v>303</v>
      </c>
      <c r="C10" s="172" t="s">
        <v>308</v>
      </c>
      <c r="D10" s="170">
        <v>46054.625</v>
      </c>
      <c r="E10" s="170">
        <v>46054.916666666664</v>
      </c>
      <c r="F10" s="10" t="str">
        <f t="shared" si="0"/>
        <v>7.0</v>
      </c>
      <c r="G10" s="208">
        <v>171598</v>
      </c>
      <c r="H10" s="205">
        <v>5686</v>
      </c>
      <c r="I10" s="166" t="s">
        <v>254</v>
      </c>
      <c r="J10" s="166" t="s">
        <v>254</v>
      </c>
      <c r="K10" s="167" t="s">
        <v>256</v>
      </c>
      <c r="L10" s="201"/>
    </row>
    <row r="11" spans="1:12" s="158" customFormat="1">
      <c r="A11" s="214">
        <v>10</v>
      </c>
      <c r="B11" s="37" t="s">
        <v>252</v>
      </c>
      <c r="C11" s="172" t="s">
        <v>75</v>
      </c>
      <c r="D11" s="170">
        <v>46054.541666666664</v>
      </c>
      <c r="E11" s="170">
        <v>46055.916666666664</v>
      </c>
      <c r="F11" s="10" t="str">
        <f t="shared" si="0"/>
        <v>33.0</v>
      </c>
      <c r="G11" s="208">
        <v>136201</v>
      </c>
      <c r="H11" s="208">
        <v>5246</v>
      </c>
      <c r="I11" s="166" t="s">
        <v>254</v>
      </c>
      <c r="J11" s="166" t="s">
        <v>254</v>
      </c>
      <c r="K11" s="167" t="s">
        <v>254</v>
      </c>
      <c r="L11" s="201" t="s">
        <v>304</v>
      </c>
    </row>
    <row r="12" spans="1:12" s="158" customFormat="1">
      <c r="A12" s="214">
        <v>11</v>
      </c>
      <c r="B12" s="37" t="s">
        <v>303</v>
      </c>
      <c r="C12" s="169" t="s">
        <v>225</v>
      </c>
      <c r="D12" s="162">
        <v>46058.541666666664</v>
      </c>
      <c r="E12" s="162">
        <v>46058.875</v>
      </c>
      <c r="F12" s="10" t="str">
        <f t="shared" si="0"/>
        <v>8.0</v>
      </c>
      <c r="G12" s="210">
        <v>136201</v>
      </c>
      <c r="H12" s="208">
        <v>5246</v>
      </c>
      <c r="I12" s="163" t="s">
        <v>254</v>
      </c>
      <c r="J12" s="163" t="s">
        <v>254</v>
      </c>
      <c r="K12" s="164" t="s">
        <v>57</v>
      </c>
      <c r="L12"/>
    </row>
    <row r="13" spans="1:12" s="158" customFormat="1">
      <c r="A13" s="214">
        <v>12</v>
      </c>
      <c r="B13" s="37" t="s">
        <v>303</v>
      </c>
      <c r="C13" s="172" t="s">
        <v>225</v>
      </c>
      <c r="D13" s="170">
        <v>46062.541666666664</v>
      </c>
      <c r="E13" s="170">
        <v>46062.875</v>
      </c>
      <c r="F13" s="10" t="str">
        <f t="shared" si="0"/>
        <v>8.0</v>
      </c>
      <c r="G13" s="208">
        <v>136201</v>
      </c>
      <c r="H13" s="205">
        <v>5246</v>
      </c>
      <c r="I13" s="166" t="s">
        <v>254</v>
      </c>
      <c r="J13" s="166" t="s">
        <v>254</v>
      </c>
      <c r="K13" s="167" t="s">
        <v>57</v>
      </c>
      <c r="L13"/>
    </row>
    <row r="14" spans="1:12" s="158" customFormat="1">
      <c r="A14" s="214">
        <v>13</v>
      </c>
      <c r="B14" s="37" t="s">
        <v>319</v>
      </c>
      <c r="C14" s="169" t="s">
        <v>296</v>
      </c>
      <c r="D14" s="162">
        <v>46068.375</v>
      </c>
      <c r="E14" s="162">
        <v>46069.5</v>
      </c>
      <c r="F14" s="10" t="str">
        <f t="shared" si="0"/>
        <v>27.0</v>
      </c>
      <c r="G14" s="208">
        <v>171598</v>
      </c>
      <c r="H14" s="208">
        <v>5686</v>
      </c>
      <c r="I14" s="163" t="s">
        <v>224</v>
      </c>
      <c r="J14" s="163" t="s">
        <v>256</v>
      </c>
      <c r="K14" s="164" t="s">
        <v>254</v>
      </c>
      <c r="L14" s="201" t="s">
        <v>304</v>
      </c>
    </row>
    <row r="15" spans="1:12" s="158" customFormat="1">
      <c r="A15" s="214">
        <v>14</v>
      </c>
      <c r="B15" s="32" t="s">
        <v>303</v>
      </c>
      <c r="C15" s="157" t="s">
        <v>225</v>
      </c>
      <c r="D15" s="162">
        <v>46072.583333333336</v>
      </c>
      <c r="E15" s="162">
        <v>46072.958333333336</v>
      </c>
      <c r="F15" s="10" t="str">
        <f t="shared" si="0"/>
        <v>9.0</v>
      </c>
      <c r="G15" s="208">
        <v>136201</v>
      </c>
      <c r="H15" s="205">
        <v>5246</v>
      </c>
      <c r="I15" s="18" t="s">
        <v>254</v>
      </c>
      <c r="J15" s="18" t="s">
        <v>84</v>
      </c>
      <c r="K15" s="165" t="s">
        <v>254</v>
      </c>
      <c r="L15"/>
    </row>
    <row r="16" spans="1:12" s="158" customFormat="1">
      <c r="A16" s="214">
        <v>15</v>
      </c>
      <c r="B16" s="32" t="s">
        <v>319</v>
      </c>
      <c r="C16" s="157" t="s">
        <v>297</v>
      </c>
      <c r="D16" s="162">
        <v>46073.291666666664</v>
      </c>
      <c r="E16" s="162">
        <v>46073.875</v>
      </c>
      <c r="F16" s="10" t="str">
        <f t="shared" si="0"/>
        <v>14.0</v>
      </c>
      <c r="G16" s="208">
        <v>169379</v>
      </c>
      <c r="H16" s="205">
        <v>5622</v>
      </c>
      <c r="I16" s="18" t="s">
        <v>254</v>
      </c>
      <c r="J16" s="18" t="s">
        <v>254</v>
      </c>
      <c r="K16" s="165" t="s">
        <v>254</v>
      </c>
      <c r="L16"/>
    </row>
    <row r="17" spans="1:12" s="158" customFormat="1">
      <c r="A17" s="214">
        <v>16</v>
      </c>
      <c r="B17" s="37" t="s">
        <v>303</v>
      </c>
      <c r="C17" s="172" t="s">
        <v>225</v>
      </c>
      <c r="D17" s="170">
        <v>46075.541666666664</v>
      </c>
      <c r="E17" s="170">
        <v>46075.875</v>
      </c>
      <c r="F17" s="10" t="str">
        <f t="shared" si="0"/>
        <v>8.0</v>
      </c>
      <c r="G17" s="208">
        <v>136201</v>
      </c>
      <c r="H17" s="205">
        <v>5246</v>
      </c>
      <c r="I17" s="166" t="s">
        <v>254</v>
      </c>
      <c r="J17" s="166" t="s">
        <v>254</v>
      </c>
      <c r="K17" s="167" t="s">
        <v>57</v>
      </c>
      <c r="L17"/>
    </row>
    <row r="18" spans="1:12" s="158" customFormat="1">
      <c r="A18" s="214">
        <v>17</v>
      </c>
      <c r="B18" s="37" t="s">
        <v>303</v>
      </c>
      <c r="C18" s="172" t="s">
        <v>296</v>
      </c>
      <c r="D18" s="170">
        <v>46080.583333333336</v>
      </c>
      <c r="E18" s="170">
        <v>46080.916666666664</v>
      </c>
      <c r="F18" s="10" t="str">
        <f t="shared" si="0"/>
        <v>8.0</v>
      </c>
      <c r="G18" s="208">
        <v>171598</v>
      </c>
      <c r="H18" s="205">
        <v>5686</v>
      </c>
      <c r="I18" s="166" t="s">
        <v>254</v>
      </c>
      <c r="J18" s="166" t="s">
        <v>254</v>
      </c>
      <c r="K18" s="167" t="s">
        <v>256</v>
      </c>
      <c r="L18"/>
    </row>
    <row r="19" spans="1:12" s="158" customFormat="1">
      <c r="A19" s="214">
        <v>18</v>
      </c>
      <c r="B19" s="37" t="s">
        <v>303</v>
      </c>
      <c r="C19" s="172" t="s">
        <v>296</v>
      </c>
      <c r="D19" s="170">
        <v>46084.583333333336</v>
      </c>
      <c r="E19" s="170">
        <v>46084.916666666664</v>
      </c>
      <c r="F19" s="10" t="str">
        <f t="shared" si="0"/>
        <v>8.0</v>
      </c>
      <c r="G19" s="208">
        <v>171598</v>
      </c>
      <c r="H19" s="205">
        <v>5686</v>
      </c>
      <c r="I19" s="166" t="s">
        <v>254</v>
      </c>
      <c r="J19" s="166" t="s">
        <v>254</v>
      </c>
      <c r="K19" s="167" t="s">
        <v>256</v>
      </c>
      <c r="L19"/>
    </row>
    <row r="20" spans="1:12" s="158" customFormat="1">
      <c r="A20" s="214">
        <v>19</v>
      </c>
      <c r="B20" s="37" t="s">
        <v>303</v>
      </c>
      <c r="C20" s="172" t="s">
        <v>225</v>
      </c>
      <c r="D20" s="170">
        <v>46087.541666666664</v>
      </c>
      <c r="E20" s="170">
        <v>46087.875</v>
      </c>
      <c r="F20" s="10" t="str">
        <f t="shared" si="0"/>
        <v>8.0</v>
      </c>
      <c r="G20" s="208">
        <v>136201</v>
      </c>
      <c r="H20" s="205">
        <v>5246</v>
      </c>
      <c r="I20" s="166" t="s">
        <v>254</v>
      </c>
      <c r="J20" s="166" t="s">
        <v>254</v>
      </c>
      <c r="K20" s="167" t="s">
        <v>57</v>
      </c>
      <c r="L20"/>
    </row>
    <row r="21" spans="1:12" s="158" customFormat="1">
      <c r="A21" s="214">
        <v>20</v>
      </c>
      <c r="B21" s="37" t="s">
        <v>252</v>
      </c>
      <c r="C21" s="172" t="s">
        <v>297</v>
      </c>
      <c r="D21" s="170">
        <v>46087.291666666664</v>
      </c>
      <c r="E21" s="170">
        <v>46087.791666666664</v>
      </c>
      <c r="F21" s="10" t="str">
        <f t="shared" si="0"/>
        <v>12.0</v>
      </c>
      <c r="G21" s="208">
        <v>169379</v>
      </c>
      <c r="H21" s="205">
        <v>5622</v>
      </c>
      <c r="I21" s="166" t="s">
        <v>254</v>
      </c>
      <c r="J21" s="166" t="s">
        <v>254</v>
      </c>
      <c r="K21" s="167" t="s">
        <v>256</v>
      </c>
      <c r="L21"/>
    </row>
    <row r="22" spans="1:12" s="158" customFormat="1">
      <c r="A22" s="214">
        <v>21</v>
      </c>
      <c r="B22" s="37" t="s">
        <v>303</v>
      </c>
      <c r="C22" s="172" t="s">
        <v>225</v>
      </c>
      <c r="D22" s="170">
        <v>46091.541666666664</v>
      </c>
      <c r="E22" s="170">
        <v>46091.875</v>
      </c>
      <c r="F22" s="10" t="str">
        <f t="shared" si="0"/>
        <v>8.0</v>
      </c>
      <c r="G22" s="208">
        <v>136201</v>
      </c>
      <c r="H22" s="205">
        <v>5246</v>
      </c>
      <c r="I22" s="166" t="s">
        <v>254</v>
      </c>
      <c r="J22" s="166" t="s">
        <v>254</v>
      </c>
      <c r="K22" s="167" t="s">
        <v>57</v>
      </c>
      <c r="L22"/>
    </row>
    <row r="23" spans="1:12" s="158" customFormat="1">
      <c r="A23" s="214">
        <v>22</v>
      </c>
      <c r="B23" s="37" t="s">
        <v>319</v>
      </c>
      <c r="C23" s="157" t="s">
        <v>297</v>
      </c>
      <c r="D23" s="162">
        <v>46092.291666666664</v>
      </c>
      <c r="E23" s="162">
        <v>46092.791666666664</v>
      </c>
      <c r="F23" s="10" t="str">
        <f t="shared" si="0"/>
        <v>12.0</v>
      </c>
      <c r="G23" s="208">
        <v>169379</v>
      </c>
      <c r="H23" s="205">
        <v>5622</v>
      </c>
      <c r="I23" s="18" t="s">
        <v>254</v>
      </c>
      <c r="J23" s="18" t="s">
        <v>57</v>
      </c>
      <c r="K23" s="165" t="s">
        <v>254</v>
      </c>
      <c r="L23"/>
    </row>
    <row r="24" spans="1:12" s="158" customFormat="1">
      <c r="A24" s="214">
        <v>23</v>
      </c>
      <c r="B24" s="32" t="s">
        <v>303</v>
      </c>
      <c r="C24" s="157" t="s">
        <v>225</v>
      </c>
      <c r="D24" s="162">
        <v>46095.541666666664</v>
      </c>
      <c r="E24" s="162">
        <v>46095.875</v>
      </c>
      <c r="F24" s="10" t="str">
        <f t="shared" si="0"/>
        <v>8.0</v>
      </c>
      <c r="G24" s="208">
        <v>136201</v>
      </c>
      <c r="H24" s="205">
        <v>5246</v>
      </c>
      <c r="I24" s="18" t="s">
        <v>254</v>
      </c>
      <c r="J24" s="166" t="s">
        <v>254</v>
      </c>
      <c r="K24" s="165" t="s">
        <v>203</v>
      </c>
      <c r="L24"/>
    </row>
    <row r="25" spans="1:12" s="204" customFormat="1">
      <c r="A25" s="214">
        <v>24</v>
      </c>
      <c r="B25" s="37" t="s">
        <v>303</v>
      </c>
      <c r="C25" s="172" t="s">
        <v>297</v>
      </c>
      <c r="D25" s="170">
        <v>46096.291666666664</v>
      </c>
      <c r="E25" s="170">
        <v>46096.791666666664</v>
      </c>
      <c r="F25" s="10" t="str">
        <f t="shared" si="0"/>
        <v>12.0</v>
      </c>
      <c r="G25" s="208">
        <v>169379</v>
      </c>
      <c r="H25" s="205">
        <v>5622</v>
      </c>
      <c r="I25" s="166" t="s">
        <v>254</v>
      </c>
      <c r="J25" s="166" t="s">
        <v>224</v>
      </c>
      <c r="K25" s="167" t="s">
        <v>254</v>
      </c>
      <c r="L25"/>
    </row>
    <row r="26" spans="1:12" s="158" customFormat="1">
      <c r="A26" s="214">
        <v>25</v>
      </c>
      <c r="B26" s="37" t="s">
        <v>303</v>
      </c>
      <c r="C26" s="157" t="s">
        <v>298</v>
      </c>
      <c r="D26" s="170">
        <v>46097.291666666664</v>
      </c>
      <c r="E26" s="170">
        <v>46097.666666666664</v>
      </c>
      <c r="F26" s="10" t="str">
        <f t="shared" si="0"/>
        <v>9.0</v>
      </c>
      <c r="G26" s="212">
        <v>114261</v>
      </c>
      <c r="H26" s="212">
        <v>3617</v>
      </c>
      <c r="I26" s="157" t="s">
        <v>299</v>
      </c>
      <c r="J26" s="172" t="s">
        <v>255</v>
      </c>
      <c r="K26" s="218" t="s">
        <v>299</v>
      </c>
      <c r="L26"/>
    </row>
    <row r="27" spans="1:12" s="158" customFormat="1">
      <c r="A27" s="214">
        <v>26</v>
      </c>
      <c r="B27" s="37" t="s">
        <v>303</v>
      </c>
      <c r="C27" s="169" t="s">
        <v>225</v>
      </c>
      <c r="D27" s="162">
        <v>46099.541666666664</v>
      </c>
      <c r="E27" s="162">
        <v>46100.875</v>
      </c>
      <c r="F27" s="10" t="str">
        <f t="shared" si="0"/>
        <v>32.0</v>
      </c>
      <c r="G27" s="210">
        <v>136201</v>
      </c>
      <c r="H27" s="208">
        <v>5246</v>
      </c>
      <c r="I27" s="163" t="s">
        <v>254</v>
      </c>
      <c r="J27" s="163" t="s">
        <v>254</v>
      </c>
      <c r="K27" s="164" t="s">
        <v>254</v>
      </c>
      <c r="L27" s="201" t="s">
        <v>304</v>
      </c>
    </row>
    <row r="28" spans="1:12" s="158" customFormat="1">
      <c r="A28" s="214">
        <v>27</v>
      </c>
      <c r="B28" s="4" t="s">
        <v>303</v>
      </c>
      <c r="C28" s="179" t="s">
        <v>325</v>
      </c>
      <c r="D28" s="170">
        <v>46102.604166666664</v>
      </c>
      <c r="E28" s="170">
        <v>46102.875</v>
      </c>
      <c r="F28" s="10" t="str">
        <f t="shared" si="0"/>
        <v>6.5</v>
      </c>
      <c r="G28" s="212">
        <v>102784</v>
      </c>
      <c r="H28" s="212">
        <v>3470</v>
      </c>
      <c r="I28" s="179" t="s">
        <v>45</v>
      </c>
      <c r="J28" s="179" t="s">
        <v>57</v>
      </c>
      <c r="K28" s="216" t="s">
        <v>45</v>
      </c>
      <c r="L28"/>
    </row>
    <row r="29" spans="1:12" s="158" customFormat="1">
      <c r="A29" s="214">
        <v>28</v>
      </c>
      <c r="B29" s="4" t="s">
        <v>303</v>
      </c>
      <c r="C29" s="157" t="s">
        <v>225</v>
      </c>
      <c r="D29" s="162">
        <v>46103.541666666664</v>
      </c>
      <c r="E29" s="162">
        <v>46103.875</v>
      </c>
      <c r="F29" s="10" t="str">
        <f t="shared" si="0"/>
        <v>8.0</v>
      </c>
      <c r="G29" s="208">
        <v>136201</v>
      </c>
      <c r="H29" s="205">
        <v>5246</v>
      </c>
      <c r="I29" s="1" t="s">
        <v>254</v>
      </c>
      <c r="J29" s="1" t="s">
        <v>254</v>
      </c>
      <c r="K29" s="167" t="s">
        <v>57</v>
      </c>
      <c r="L29"/>
    </row>
    <row r="30" spans="1:12" s="158" customFormat="1">
      <c r="A30" s="214">
        <v>29</v>
      </c>
      <c r="B30" s="37" t="s">
        <v>303</v>
      </c>
      <c r="C30" s="169" t="s">
        <v>225</v>
      </c>
      <c r="D30" s="162">
        <v>46107.541666666664</v>
      </c>
      <c r="E30" s="162">
        <v>46108.875</v>
      </c>
      <c r="F30" s="10" t="str">
        <f t="shared" si="0"/>
        <v>32.0</v>
      </c>
      <c r="G30" s="210">
        <v>136201</v>
      </c>
      <c r="H30" s="208">
        <v>5246</v>
      </c>
      <c r="I30" s="163" t="s">
        <v>254</v>
      </c>
      <c r="J30" s="163" t="s">
        <v>254</v>
      </c>
      <c r="K30" s="164" t="s">
        <v>254</v>
      </c>
      <c r="L30" s="201" t="s">
        <v>304</v>
      </c>
    </row>
    <row r="31" spans="1:12" s="158" customFormat="1">
      <c r="A31" s="214">
        <v>30</v>
      </c>
      <c r="B31" s="4" t="s">
        <v>303</v>
      </c>
      <c r="C31" s="157" t="s">
        <v>225</v>
      </c>
      <c r="D31" s="162">
        <v>46111.541666666664</v>
      </c>
      <c r="E31" s="162">
        <v>46111.875</v>
      </c>
      <c r="F31" s="10" t="str">
        <f t="shared" si="0"/>
        <v>8.0</v>
      </c>
      <c r="G31" s="208">
        <v>136201</v>
      </c>
      <c r="H31" s="205">
        <v>5246</v>
      </c>
      <c r="I31" s="1" t="s">
        <v>254</v>
      </c>
      <c r="J31" s="1" t="s">
        <v>254</v>
      </c>
      <c r="K31" s="167" t="s">
        <v>57</v>
      </c>
      <c r="L31"/>
    </row>
    <row r="32" spans="1:12" s="158" customFormat="1">
      <c r="A32" s="214">
        <v>31</v>
      </c>
      <c r="B32" s="4" t="s">
        <v>303</v>
      </c>
      <c r="C32" s="157" t="s">
        <v>225</v>
      </c>
      <c r="D32" s="162">
        <v>46115.541666666664</v>
      </c>
      <c r="E32" s="162">
        <v>46115.875</v>
      </c>
      <c r="F32" s="10" t="str">
        <f t="shared" si="0"/>
        <v>8.0</v>
      </c>
      <c r="G32" s="208">
        <v>136201</v>
      </c>
      <c r="H32" s="205">
        <v>5246</v>
      </c>
      <c r="I32" s="1" t="s">
        <v>254</v>
      </c>
      <c r="J32" s="1" t="s">
        <v>224</v>
      </c>
      <c r="K32" s="167" t="s">
        <v>57</v>
      </c>
      <c r="L32" s="201"/>
    </row>
    <row r="33" spans="1:12" s="158" customFormat="1">
      <c r="A33" s="214">
        <v>32</v>
      </c>
      <c r="B33" s="37" t="s">
        <v>319</v>
      </c>
      <c r="C33" s="172" t="s">
        <v>272</v>
      </c>
      <c r="D33" s="170">
        <v>46117.583333333336</v>
      </c>
      <c r="E33" s="170">
        <v>46117.916666666664</v>
      </c>
      <c r="F33" s="10" t="str">
        <f t="shared" si="0"/>
        <v>8.0</v>
      </c>
      <c r="G33" s="208">
        <v>77499</v>
      </c>
      <c r="H33" s="205">
        <v>2270</v>
      </c>
      <c r="I33" s="166" t="s">
        <v>254</v>
      </c>
      <c r="J33" s="166" t="s">
        <v>254</v>
      </c>
      <c r="K33" s="167" t="s">
        <v>256</v>
      </c>
      <c r="L33"/>
    </row>
    <row r="34" spans="1:12" s="158" customFormat="1">
      <c r="A34" s="214">
        <v>33</v>
      </c>
      <c r="B34" s="37" t="s">
        <v>252</v>
      </c>
      <c r="C34" s="179" t="s">
        <v>325</v>
      </c>
      <c r="D34" s="170">
        <v>46117.5</v>
      </c>
      <c r="E34" s="170">
        <v>46117.833333333336</v>
      </c>
      <c r="F34" s="10" t="str">
        <f t="shared" si="0"/>
        <v>8.0</v>
      </c>
      <c r="G34" s="212">
        <v>102784</v>
      </c>
      <c r="H34" s="212">
        <v>3470</v>
      </c>
      <c r="I34" s="179" t="s">
        <v>45</v>
      </c>
      <c r="J34" s="179" t="s">
        <v>89</v>
      </c>
      <c r="K34" s="216" t="s">
        <v>45</v>
      </c>
      <c r="L34"/>
    </row>
    <row r="35" spans="1:12" s="158" customFormat="1">
      <c r="A35" s="214">
        <v>34</v>
      </c>
      <c r="B35" s="37" t="s">
        <v>303</v>
      </c>
      <c r="C35" s="169" t="s">
        <v>296</v>
      </c>
      <c r="D35" s="162">
        <v>46118.458333333336</v>
      </c>
      <c r="E35" s="162">
        <v>46118.875</v>
      </c>
      <c r="F35" s="10" t="str">
        <f t="shared" si="0"/>
        <v>10.0</v>
      </c>
      <c r="G35" s="208">
        <v>171598</v>
      </c>
      <c r="H35" s="208">
        <v>5686</v>
      </c>
      <c r="I35" s="163" t="s">
        <v>261</v>
      </c>
      <c r="J35" s="163" t="s">
        <v>262</v>
      </c>
      <c r="K35" s="164" t="s">
        <v>260</v>
      </c>
      <c r="L35"/>
    </row>
    <row r="36" spans="1:12" s="158" customFormat="1">
      <c r="A36" s="214">
        <v>35</v>
      </c>
      <c r="B36" s="37" t="s">
        <v>303</v>
      </c>
      <c r="C36" s="172" t="s">
        <v>225</v>
      </c>
      <c r="D36" s="170">
        <v>46119.541666666664</v>
      </c>
      <c r="E36" s="170">
        <v>46119.875</v>
      </c>
      <c r="F36" s="10" t="str">
        <f t="shared" si="0"/>
        <v>8.0</v>
      </c>
      <c r="G36" s="208">
        <v>136201</v>
      </c>
      <c r="H36" s="205">
        <v>5246</v>
      </c>
      <c r="I36" s="166" t="s">
        <v>254</v>
      </c>
      <c r="J36" s="166" t="s">
        <v>254</v>
      </c>
      <c r="K36" s="167" t="s">
        <v>57</v>
      </c>
      <c r="L36"/>
    </row>
    <row r="37" spans="1:12" s="158" customFormat="1">
      <c r="A37" s="214">
        <v>36</v>
      </c>
      <c r="B37" s="37" t="s">
        <v>319</v>
      </c>
      <c r="C37" s="169" t="s">
        <v>297</v>
      </c>
      <c r="D37" s="162">
        <v>46120.291666666664</v>
      </c>
      <c r="E37" s="162">
        <v>46120.791666666664</v>
      </c>
      <c r="F37" s="10" t="str">
        <f t="shared" si="0"/>
        <v>12.0</v>
      </c>
      <c r="G37" s="210">
        <v>169379</v>
      </c>
      <c r="H37" s="208">
        <v>5622</v>
      </c>
      <c r="I37" s="163" t="s">
        <v>254</v>
      </c>
      <c r="J37" s="163" t="s">
        <v>224</v>
      </c>
      <c r="K37" s="164" t="s">
        <v>224</v>
      </c>
      <c r="L37"/>
    </row>
    <row r="38" spans="1:12" s="158" customFormat="1">
      <c r="A38" s="214">
        <v>37</v>
      </c>
      <c r="B38" s="4" t="s">
        <v>303</v>
      </c>
      <c r="C38" s="157" t="s">
        <v>318</v>
      </c>
      <c r="D38" s="162">
        <v>46121.291666666664</v>
      </c>
      <c r="E38" s="162">
        <v>46121.625</v>
      </c>
      <c r="F38" s="10" t="str">
        <f t="shared" si="0"/>
        <v>8.0</v>
      </c>
      <c r="G38" s="208">
        <v>91627</v>
      </c>
      <c r="H38" s="205">
        <v>2390</v>
      </c>
      <c r="I38" s="1" t="s">
        <v>287</v>
      </c>
      <c r="J38" s="1" t="s">
        <v>287</v>
      </c>
      <c r="K38" s="167" t="s">
        <v>257</v>
      </c>
      <c r="L38"/>
    </row>
    <row r="39" spans="1:12" s="158" customFormat="1">
      <c r="A39" s="214">
        <v>38</v>
      </c>
      <c r="B39" s="37" t="s">
        <v>303</v>
      </c>
      <c r="C39" s="169" t="s">
        <v>225</v>
      </c>
      <c r="D39" s="162">
        <v>46123.541666666664</v>
      </c>
      <c r="E39" s="162">
        <v>46123.916666666664</v>
      </c>
      <c r="F39" s="10" t="str">
        <f t="shared" si="0"/>
        <v>9.0</v>
      </c>
      <c r="G39" s="210">
        <v>136201</v>
      </c>
      <c r="H39" s="208">
        <v>5246</v>
      </c>
      <c r="I39" s="163" t="s">
        <v>254</v>
      </c>
      <c r="J39" s="163" t="s">
        <v>254</v>
      </c>
      <c r="K39" s="164" t="s">
        <v>224</v>
      </c>
      <c r="L39"/>
    </row>
    <row r="40" spans="1:12" s="158" customFormat="1">
      <c r="A40" s="214">
        <v>39</v>
      </c>
      <c r="B40" s="4" t="s">
        <v>303</v>
      </c>
      <c r="C40" s="179" t="s">
        <v>325</v>
      </c>
      <c r="D40" s="170">
        <v>46126.333333333336</v>
      </c>
      <c r="E40" s="170">
        <v>46126.666666666664</v>
      </c>
      <c r="F40" s="10" t="str">
        <f t="shared" si="0"/>
        <v>8.0</v>
      </c>
      <c r="G40" s="212">
        <v>102784</v>
      </c>
      <c r="H40" s="212">
        <v>3470</v>
      </c>
      <c r="I40" s="179" t="s">
        <v>45</v>
      </c>
      <c r="J40" s="179" t="s">
        <v>45</v>
      </c>
      <c r="K40" s="216" t="s">
        <v>89</v>
      </c>
      <c r="L40"/>
    </row>
    <row r="41" spans="1:12" s="158" customFormat="1">
      <c r="A41" s="214">
        <v>40</v>
      </c>
      <c r="B41" s="4" t="s">
        <v>303</v>
      </c>
      <c r="C41" s="157" t="s">
        <v>225</v>
      </c>
      <c r="D41" s="162">
        <v>46127.291666666664</v>
      </c>
      <c r="E41" s="162">
        <v>46127.916666666664</v>
      </c>
      <c r="F41" s="10" t="str">
        <f t="shared" si="0"/>
        <v>15.0</v>
      </c>
      <c r="G41" s="208">
        <v>136201</v>
      </c>
      <c r="H41" s="205">
        <v>5246</v>
      </c>
      <c r="I41" s="1" t="s">
        <v>254</v>
      </c>
      <c r="J41" s="1" t="s">
        <v>254</v>
      </c>
      <c r="K41" s="167" t="s">
        <v>57</v>
      </c>
      <c r="L41"/>
    </row>
    <row r="42" spans="1:12" s="158" customFormat="1">
      <c r="A42" s="214">
        <v>41</v>
      </c>
      <c r="B42" s="37" t="s">
        <v>319</v>
      </c>
      <c r="C42" s="172" t="s">
        <v>297</v>
      </c>
      <c r="D42" s="170">
        <v>46128.291666666664</v>
      </c>
      <c r="E42" s="170">
        <v>46128.791666666664</v>
      </c>
      <c r="F42" s="10" t="str">
        <f t="shared" si="0"/>
        <v>12.0</v>
      </c>
      <c r="G42" s="208">
        <v>169379</v>
      </c>
      <c r="H42" s="205">
        <v>5622</v>
      </c>
      <c r="I42" s="166" t="s">
        <v>254</v>
      </c>
      <c r="J42" s="166" t="s">
        <v>254</v>
      </c>
      <c r="K42" s="167" t="s">
        <v>254</v>
      </c>
      <c r="L42"/>
    </row>
    <row r="43" spans="1:12" s="158" customFormat="1">
      <c r="A43" s="214">
        <v>42</v>
      </c>
      <c r="B43" s="4" t="s">
        <v>303</v>
      </c>
      <c r="C43" s="157" t="s">
        <v>225</v>
      </c>
      <c r="D43" s="162">
        <v>46131.583333333336</v>
      </c>
      <c r="E43" s="162">
        <v>46131.9375</v>
      </c>
      <c r="F43" s="10" t="str">
        <f t="shared" si="0"/>
        <v>8.5</v>
      </c>
      <c r="G43" s="208">
        <v>136201</v>
      </c>
      <c r="H43" s="205">
        <v>5246</v>
      </c>
      <c r="I43" s="1" t="s">
        <v>254</v>
      </c>
      <c r="J43" s="1" t="s">
        <v>254</v>
      </c>
      <c r="K43" s="167" t="s">
        <v>224</v>
      </c>
      <c r="L43"/>
    </row>
    <row r="44" spans="1:12" s="158" customFormat="1">
      <c r="A44" s="214">
        <v>43</v>
      </c>
      <c r="B44" s="168" t="s">
        <v>252</v>
      </c>
      <c r="C44" s="169" t="s">
        <v>297</v>
      </c>
      <c r="D44" s="170">
        <v>46131.5</v>
      </c>
      <c r="E44" s="170">
        <v>46131.875</v>
      </c>
      <c r="F44" s="10" t="str">
        <f t="shared" si="0"/>
        <v>9.0</v>
      </c>
      <c r="G44" s="213">
        <v>169379</v>
      </c>
      <c r="H44" s="212">
        <v>5622</v>
      </c>
      <c r="I44" s="1" t="s">
        <v>254</v>
      </c>
      <c r="J44" s="1" t="s">
        <v>254</v>
      </c>
      <c r="K44" s="219" t="s">
        <v>323</v>
      </c>
      <c r="L44" s="204"/>
    </row>
    <row r="45" spans="1:12" s="158" customFormat="1">
      <c r="A45" s="214">
        <v>44</v>
      </c>
      <c r="B45" s="37" t="s">
        <v>303</v>
      </c>
      <c r="C45" s="172" t="s">
        <v>300</v>
      </c>
      <c r="D45" s="170">
        <v>46134.333333333336</v>
      </c>
      <c r="E45" s="170">
        <v>46134.666666666664</v>
      </c>
      <c r="F45" s="10" t="str">
        <f t="shared" si="0"/>
        <v>8.0</v>
      </c>
      <c r="G45" s="208">
        <v>115906</v>
      </c>
      <c r="H45" s="205">
        <v>3247</v>
      </c>
      <c r="I45" s="166" t="s">
        <v>263</v>
      </c>
      <c r="J45" s="166" t="s">
        <v>257</v>
      </c>
      <c r="K45" s="167" t="s">
        <v>264</v>
      </c>
      <c r="L45"/>
    </row>
    <row r="46" spans="1:12" s="158" customFormat="1">
      <c r="A46" s="214">
        <v>45</v>
      </c>
      <c r="B46" s="4" t="s">
        <v>319</v>
      </c>
      <c r="C46" s="157" t="s">
        <v>225</v>
      </c>
      <c r="D46" s="162">
        <v>46136.5625</v>
      </c>
      <c r="E46" s="162">
        <v>46136.958333333336</v>
      </c>
      <c r="F46" s="10" t="str">
        <f t="shared" si="0"/>
        <v>9.5</v>
      </c>
      <c r="G46" s="208">
        <v>136201</v>
      </c>
      <c r="H46" s="205">
        <v>5246</v>
      </c>
      <c r="I46" s="1" t="s">
        <v>254</v>
      </c>
      <c r="J46" s="1" t="s">
        <v>89</v>
      </c>
      <c r="K46" s="167" t="s">
        <v>224</v>
      </c>
      <c r="L46"/>
    </row>
    <row r="47" spans="1:12" s="158" customFormat="1">
      <c r="A47" s="214">
        <v>46</v>
      </c>
      <c r="B47" s="32" t="s">
        <v>319</v>
      </c>
      <c r="C47" s="157" t="s">
        <v>272</v>
      </c>
      <c r="D47" s="162">
        <v>46137.583333333336</v>
      </c>
      <c r="E47" s="162">
        <v>46137.916666666664</v>
      </c>
      <c r="F47" s="10" t="str">
        <f t="shared" si="0"/>
        <v>8.0</v>
      </c>
      <c r="G47" s="208">
        <v>77499</v>
      </c>
      <c r="H47" s="205">
        <v>2270</v>
      </c>
      <c r="I47" s="1" t="s">
        <v>254</v>
      </c>
      <c r="J47" s="1" t="s">
        <v>254</v>
      </c>
      <c r="K47" s="167" t="s">
        <v>256</v>
      </c>
      <c r="L47"/>
    </row>
    <row r="48" spans="1:12" s="158" customFormat="1">
      <c r="A48" s="214">
        <v>47</v>
      </c>
      <c r="B48" s="32" t="s">
        <v>252</v>
      </c>
      <c r="C48" s="179" t="s">
        <v>325</v>
      </c>
      <c r="D48" s="170">
        <v>46137.5</v>
      </c>
      <c r="E48" s="170">
        <v>46137.833333333336</v>
      </c>
      <c r="F48" s="10" t="str">
        <f t="shared" si="0"/>
        <v>8.0</v>
      </c>
      <c r="G48" s="212">
        <v>102784</v>
      </c>
      <c r="H48" s="212">
        <v>3470</v>
      </c>
      <c r="I48" s="179" t="s">
        <v>45</v>
      </c>
      <c r="J48" s="179" t="s">
        <v>89</v>
      </c>
      <c r="K48" s="216" t="s">
        <v>45</v>
      </c>
      <c r="L48"/>
    </row>
    <row r="49" spans="1:12" s="158" customFormat="1">
      <c r="A49" s="214">
        <v>48</v>
      </c>
      <c r="B49" s="37" t="s">
        <v>303</v>
      </c>
      <c r="C49" s="172" t="s">
        <v>296</v>
      </c>
      <c r="D49" s="170">
        <v>46138.291666666664</v>
      </c>
      <c r="E49" s="170">
        <v>46138.708333333336</v>
      </c>
      <c r="F49" s="10" t="str">
        <f t="shared" si="0"/>
        <v>10.0</v>
      </c>
      <c r="G49" s="208">
        <v>171598</v>
      </c>
      <c r="H49" s="205">
        <v>5686</v>
      </c>
      <c r="I49" s="166" t="s">
        <v>261</v>
      </c>
      <c r="J49" s="166" t="s">
        <v>262</v>
      </c>
      <c r="K49" s="167" t="s">
        <v>172</v>
      </c>
      <c r="L49"/>
    </row>
    <row r="50" spans="1:12" s="158" customFormat="1">
      <c r="A50" s="214">
        <v>49</v>
      </c>
      <c r="B50" s="37" t="s">
        <v>320</v>
      </c>
      <c r="C50" s="169" t="s">
        <v>225</v>
      </c>
      <c r="D50" s="162">
        <v>46139.541666666664</v>
      </c>
      <c r="E50" s="162">
        <v>46141.354166666664</v>
      </c>
      <c r="F50" s="10" t="str">
        <f t="shared" si="0"/>
        <v>43.5</v>
      </c>
      <c r="G50" s="210">
        <v>136201</v>
      </c>
      <c r="H50" s="208">
        <v>5246</v>
      </c>
      <c r="I50" s="163" t="s">
        <v>254</v>
      </c>
      <c r="J50" s="163" t="s">
        <v>224</v>
      </c>
      <c r="K50" s="164" t="s">
        <v>224</v>
      </c>
      <c r="L50" s="201" t="s">
        <v>304</v>
      </c>
    </row>
    <row r="51" spans="1:12" s="158" customFormat="1">
      <c r="A51" s="214">
        <v>50</v>
      </c>
      <c r="B51" s="37" t="s">
        <v>303</v>
      </c>
      <c r="C51" s="169" t="s">
        <v>331</v>
      </c>
      <c r="D51" s="162">
        <v>46141.333333333336</v>
      </c>
      <c r="E51" s="162">
        <v>46141.708333333336</v>
      </c>
      <c r="F51" s="10" t="str">
        <f t="shared" si="0"/>
        <v>9.0</v>
      </c>
      <c r="G51" s="208">
        <v>46750</v>
      </c>
      <c r="H51" s="205">
        <v>452</v>
      </c>
      <c r="I51" s="163" t="s">
        <v>266</v>
      </c>
      <c r="J51" s="163" t="s">
        <v>256</v>
      </c>
      <c r="K51" s="164" t="s">
        <v>260</v>
      </c>
      <c r="L51"/>
    </row>
    <row r="52" spans="1:12" s="158" customFormat="1">
      <c r="A52" s="214">
        <v>51</v>
      </c>
      <c r="B52" s="37" t="s">
        <v>320</v>
      </c>
      <c r="C52" s="172" t="s">
        <v>225</v>
      </c>
      <c r="D52" s="170">
        <v>46143.583333333336</v>
      </c>
      <c r="E52" s="170">
        <v>46143.9375</v>
      </c>
      <c r="F52" s="10" t="str">
        <f t="shared" si="0"/>
        <v>8.5</v>
      </c>
      <c r="G52" s="208">
        <v>136201</v>
      </c>
      <c r="H52" s="205">
        <v>5246</v>
      </c>
      <c r="I52" s="166" t="s">
        <v>254</v>
      </c>
      <c r="J52" s="166" t="s">
        <v>254</v>
      </c>
      <c r="K52" s="167" t="s">
        <v>203</v>
      </c>
      <c r="L52"/>
    </row>
    <row r="53" spans="1:12" s="158" customFormat="1">
      <c r="A53" s="214">
        <v>52</v>
      </c>
      <c r="B53" s="37" t="s">
        <v>303</v>
      </c>
      <c r="C53" s="157" t="s">
        <v>298</v>
      </c>
      <c r="D53" s="162">
        <v>46145.5</v>
      </c>
      <c r="E53" s="162">
        <v>46145.833333333336</v>
      </c>
      <c r="F53" s="10" t="str">
        <f t="shared" si="0"/>
        <v>8.0</v>
      </c>
      <c r="G53" s="208">
        <v>114261</v>
      </c>
      <c r="H53" s="205">
        <v>3617</v>
      </c>
      <c r="I53" s="1" t="s">
        <v>262</v>
      </c>
      <c r="J53" s="1" t="s">
        <v>324</v>
      </c>
      <c r="K53" s="167" t="s">
        <v>255</v>
      </c>
      <c r="L53"/>
    </row>
    <row r="54" spans="1:12" s="158" customFormat="1">
      <c r="A54" s="214">
        <v>53</v>
      </c>
      <c r="B54" s="37" t="s">
        <v>252</v>
      </c>
      <c r="C54" s="169" t="s">
        <v>297</v>
      </c>
      <c r="D54" s="162">
        <v>46145.291666666664</v>
      </c>
      <c r="E54" s="162">
        <v>46145.75</v>
      </c>
      <c r="F54" s="10" t="str">
        <f t="shared" si="0"/>
        <v>11.0</v>
      </c>
      <c r="G54" s="210">
        <v>169379</v>
      </c>
      <c r="H54" s="208">
        <v>5622</v>
      </c>
      <c r="I54" s="163" t="s">
        <v>254</v>
      </c>
      <c r="J54" s="163" t="s">
        <v>254</v>
      </c>
      <c r="K54" s="164" t="s">
        <v>57</v>
      </c>
      <c r="L54"/>
    </row>
    <row r="55" spans="1:12" s="158" customFormat="1">
      <c r="A55" s="214">
        <v>54</v>
      </c>
      <c r="B55" s="168" t="s">
        <v>303</v>
      </c>
      <c r="C55" s="179" t="s">
        <v>325</v>
      </c>
      <c r="D55" s="170">
        <v>46146.416666666664</v>
      </c>
      <c r="E55" s="170">
        <v>46146.75</v>
      </c>
      <c r="F55" s="10" t="str">
        <f t="shared" si="0"/>
        <v>8.0</v>
      </c>
      <c r="G55" s="212">
        <v>102784</v>
      </c>
      <c r="H55" s="212">
        <v>3470</v>
      </c>
      <c r="I55" s="179" t="s">
        <v>45</v>
      </c>
      <c r="J55" s="179" t="s">
        <v>57</v>
      </c>
      <c r="K55" s="216" t="s">
        <v>45</v>
      </c>
      <c r="L55" s="220"/>
    </row>
    <row r="56" spans="1:12" s="158" customFormat="1">
      <c r="A56" s="214">
        <v>55</v>
      </c>
      <c r="B56" s="37" t="s">
        <v>303</v>
      </c>
      <c r="C56" s="172" t="s">
        <v>296</v>
      </c>
      <c r="D56" s="170">
        <v>46149.291666666664</v>
      </c>
      <c r="E56" s="170">
        <v>46149.708333333336</v>
      </c>
      <c r="F56" s="10" t="str">
        <f t="shared" si="0"/>
        <v>10.0</v>
      </c>
      <c r="G56" s="208">
        <v>171598</v>
      </c>
      <c r="H56" s="205">
        <v>5686</v>
      </c>
      <c r="I56" s="166" t="s">
        <v>28</v>
      </c>
      <c r="J56" s="166" t="s">
        <v>28</v>
      </c>
      <c r="K56" s="167" t="s">
        <v>172</v>
      </c>
      <c r="L56"/>
    </row>
    <row r="57" spans="1:12" s="158" customFormat="1">
      <c r="A57" s="214">
        <v>56</v>
      </c>
      <c r="B57" s="168" t="s">
        <v>303</v>
      </c>
      <c r="C57" s="179" t="s">
        <v>325</v>
      </c>
      <c r="D57" s="170">
        <v>46151.541666666664</v>
      </c>
      <c r="E57" s="170">
        <v>46151.875</v>
      </c>
      <c r="F57" s="10" t="str">
        <f t="shared" si="0"/>
        <v>8.0</v>
      </c>
      <c r="G57" s="212">
        <v>102784</v>
      </c>
      <c r="H57" s="212">
        <v>3470</v>
      </c>
      <c r="I57" s="179" t="s">
        <v>45</v>
      </c>
      <c r="J57" s="179" t="s">
        <v>89</v>
      </c>
      <c r="K57" s="216" t="s">
        <v>45</v>
      </c>
      <c r="L57"/>
    </row>
    <row r="58" spans="1:12" s="158" customFormat="1">
      <c r="A58" s="214">
        <v>57</v>
      </c>
      <c r="B58" s="37" t="s">
        <v>303</v>
      </c>
      <c r="C58" s="172" t="s">
        <v>225</v>
      </c>
      <c r="D58" s="170">
        <v>46152.541666666664</v>
      </c>
      <c r="E58" s="170">
        <v>46152.916666666664</v>
      </c>
      <c r="F58" s="10" t="str">
        <f t="shared" ref="F58:F111" si="1">TEXT((VALUE(E58)-VALUE(D58))*24,"0.0")</f>
        <v>9.0</v>
      </c>
      <c r="G58" s="208">
        <v>136201</v>
      </c>
      <c r="H58" s="205">
        <v>5246</v>
      </c>
      <c r="I58" s="166" t="s">
        <v>254</v>
      </c>
      <c r="J58" s="166" t="s">
        <v>254</v>
      </c>
      <c r="K58" s="167" t="s">
        <v>224</v>
      </c>
      <c r="L58"/>
    </row>
    <row r="59" spans="1:12" s="158" customFormat="1">
      <c r="A59" s="214">
        <v>58</v>
      </c>
      <c r="B59" s="37" t="s">
        <v>303</v>
      </c>
      <c r="C59" s="169" t="s">
        <v>225</v>
      </c>
      <c r="D59" s="162">
        <v>46156.291666666664</v>
      </c>
      <c r="E59" s="162">
        <v>46156.791666666664</v>
      </c>
      <c r="F59" s="10" t="str">
        <f t="shared" si="1"/>
        <v>12.0</v>
      </c>
      <c r="G59" s="210">
        <v>136201</v>
      </c>
      <c r="H59" s="205">
        <v>5246</v>
      </c>
      <c r="I59" s="166" t="s">
        <v>254</v>
      </c>
      <c r="J59" s="166" t="s">
        <v>224</v>
      </c>
      <c r="K59" s="167" t="s">
        <v>57</v>
      </c>
      <c r="L59"/>
    </row>
    <row r="60" spans="1:12" s="158" customFormat="1">
      <c r="A60" s="214">
        <v>59</v>
      </c>
      <c r="B60" s="37" t="s">
        <v>252</v>
      </c>
      <c r="C60" s="179" t="s">
        <v>325</v>
      </c>
      <c r="D60" s="170">
        <v>46156.541666666664</v>
      </c>
      <c r="E60" s="170">
        <v>46156.916666666664</v>
      </c>
      <c r="F60" s="221" t="str">
        <f t="shared" si="1"/>
        <v>9.0</v>
      </c>
      <c r="G60" s="212">
        <v>102784</v>
      </c>
      <c r="H60" s="212">
        <v>3470</v>
      </c>
      <c r="I60" s="179" t="s">
        <v>271</v>
      </c>
      <c r="J60" s="179" t="s">
        <v>89</v>
      </c>
      <c r="K60" s="216" t="s">
        <v>271</v>
      </c>
      <c r="L60"/>
    </row>
    <row r="61" spans="1:12" s="158" customFormat="1">
      <c r="A61" s="214">
        <v>60</v>
      </c>
      <c r="B61" s="4" t="s">
        <v>303</v>
      </c>
      <c r="C61" s="157" t="s">
        <v>272</v>
      </c>
      <c r="D61" s="162">
        <v>46157.583333333336</v>
      </c>
      <c r="E61" s="162">
        <v>46157.916666666664</v>
      </c>
      <c r="F61" s="10" t="str">
        <f t="shared" si="1"/>
        <v>8.0</v>
      </c>
      <c r="G61" s="208">
        <v>77499</v>
      </c>
      <c r="H61" s="205">
        <v>2270</v>
      </c>
      <c r="I61" s="1" t="s">
        <v>254</v>
      </c>
      <c r="J61" s="1" t="s">
        <v>254</v>
      </c>
      <c r="K61" s="167" t="s">
        <v>256</v>
      </c>
      <c r="L61"/>
    </row>
    <row r="62" spans="1:12" s="158" customFormat="1">
      <c r="A62" s="214">
        <v>61</v>
      </c>
      <c r="B62" s="37" t="s">
        <v>303</v>
      </c>
      <c r="C62" s="169" t="s">
        <v>297</v>
      </c>
      <c r="D62" s="162">
        <v>46158.5</v>
      </c>
      <c r="E62" s="162">
        <v>46158.916666666664</v>
      </c>
      <c r="F62" s="10" t="str">
        <f t="shared" si="1"/>
        <v>10.0</v>
      </c>
      <c r="G62" s="210">
        <v>169379</v>
      </c>
      <c r="H62" s="208">
        <v>5622</v>
      </c>
      <c r="I62" s="163" t="s">
        <v>254</v>
      </c>
      <c r="J62" s="163" t="s">
        <v>254</v>
      </c>
      <c r="K62" s="164" t="s">
        <v>224</v>
      </c>
      <c r="L62"/>
    </row>
    <row r="63" spans="1:12" s="158" customFormat="1">
      <c r="A63" s="214">
        <v>62</v>
      </c>
      <c r="B63" s="37" t="s">
        <v>303</v>
      </c>
      <c r="C63" s="179" t="s">
        <v>325</v>
      </c>
      <c r="D63" s="170">
        <v>46160.333333333336</v>
      </c>
      <c r="E63" s="170">
        <v>46160.666666666664</v>
      </c>
      <c r="F63" s="10" t="str">
        <f t="shared" si="1"/>
        <v>8.0</v>
      </c>
      <c r="G63" s="212">
        <v>102784</v>
      </c>
      <c r="H63" s="212">
        <v>3470</v>
      </c>
      <c r="I63" s="179" t="s">
        <v>271</v>
      </c>
      <c r="J63" s="179" t="s">
        <v>271</v>
      </c>
      <c r="K63" s="216" t="s">
        <v>89</v>
      </c>
      <c r="L63"/>
    </row>
    <row r="64" spans="1:12" s="158" customFormat="1">
      <c r="A64" s="214">
        <v>63</v>
      </c>
      <c r="B64" s="37" t="s">
        <v>320</v>
      </c>
      <c r="C64" s="172" t="s">
        <v>225</v>
      </c>
      <c r="D64" s="170">
        <v>46160.541666666664</v>
      </c>
      <c r="E64" s="170">
        <v>46160.875</v>
      </c>
      <c r="F64" s="10" t="str">
        <f t="shared" si="1"/>
        <v>8.0</v>
      </c>
      <c r="G64" s="208">
        <v>136201</v>
      </c>
      <c r="H64" s="205">
        <v>5246</v>
      </c>
      <c r="I64" s="166" t="s">
        <v>254</v>
      </c>
      <c r="J64" s="166" t="s">
        <v>224</v>
      </c>
      <c r="K64" s="167" t="s">
        <v>203</v>
      </c>
      <c r="L64" s="201"/>
    </row>
    <row r="65" spans="1:12" s="158" customFormat="1">
      <c r="A65" s="214">
        <v>64</v>
      </c>
      <c r="B65" s="37" t="s">
        <v>319</v>
      </c>
      <c r="C65" s="169" t="s">
        <v>296</v>
      </c>
      <c r="D65" s="162">
        <v>46161.541666666664</v>
      </c>
      <c r="E65" s="162">
        <v>46161.875</v>
      </c>
      <c r="F65" s="10" t="str">
        <f t="shared" si="1"/>
        <v>8.0</v>
      </c>
      <c r="G65" s="208">
        <v>171598</v>
      </c>
      <c r="H65" s="208">
        <v>5686</v>
      </c>
      <c r="I65" s="163" t="s">
        <v>261</v>
      </c>
      <c r="J65" s="163" t="s">
        <v>262</v>
      </c>
      <c r="K65" s="164" t="s">
        <v>172</v>
      </c>
      <c r="L65"/>
    </row>
    <row r="66" spans="1:12" s="158" customFormat="1">
      <c r="A66" s="214">
        <v>65</v>
      </c>
      <c r="B66" s="37" t="s">
        <v>303</v>
      </c>
      <c r="C66" s="172" t="s">
        <v>225</v>
      </c>
      <c r="D66" s="170">
        <v>46164.541666666664</v>
      </c>
      <c r="E66" s="170">
        <v>46164.916666666664</v>
      </c>
      <c r="F66" s="10" t="str">
        <f t="shared" si="1"/>
        <v>9.0</v>
      </c>
      <c r="G66" s="208">
        <v>136201</v>
      </c>
      <c r="H66" s="205">
        <v>5246</v>
      </c>
      <c r="I66" s="166" t="s">
        <v>254</v>
      </c>
      <c r="J66" s="166" t="s">
        <v>254</v>
      </c>
      <c r="K66" s="167" t="s">
        <v>224</v>
      </c>
      <c r="L66"/>
    </row>
    <row r="67" spans="1:12" s="158" customFormat="1">
      <c r="A67" s="214">
        <v>66</v>
      </c>
      <c r="B67" s="37" t="s">
        <v>303</v>
      </c>
      <c r="C67" s="179" t="s">
        <v>325</v>
      </c>
      <c r="D67" s="170">
        <v>46165.333333333336</v>
      </c>
      <c r="E67" s="170">
        <v>46165.666666666664</v>
      </c>
      <c r="F67" s="10" t="str">
        <f t="shared" si="1"/>
        <v>8.0</v>
      </c>
      <c r="G67" s="212">
        <v>102784</v>
      </c>
      <c r="H67" s="212">
        <v>3470</v>
      </c>
      <c r="I67" s="179" t="s">
        <v>45</v>
      </c>
      <c r="J67" s="179" t="s">
        <v>45</v>
      </c>
      <c r="K67" s="216" t="s">
        <v>89</v>
      </c>
      <c r="L67"/>
    </row>
    <row r="68" spans="1:12" s="158" customFormat="1">
      <c r="A68" s="214">
        <v>67</v>
      </c>
      <c r="B68" s="37" t="s">
        <v>303</v>
      </c>
      <c r="C68" s="172" t="s">
        <v>75</v>
      </c>
      <c r="D68" s="170">
        <v>46169.291666666664</v>
      </c>
      <c r="E68" s="170">
        <v>46169.625</v>
      </c>
      <c r="F68" s="10" t="str">
        <f t="shared" si="1"/>
        <v>8.0</v>
      </c>
      <c r="G68" s="208">
        <v>136201</v>
      </c>
      <c r="H68" s="205">
        <v>5246</v>
      </c>
      <c r="I68" s="166" t="s">
        <v>254</v>
      </c>
      <c r="J68" s="166" t="s">
        <v>57</v>
      </c>
      <c r="K68" s="167" t="s">
        <v>224</v>
      </c>
      <c r="L68" s="201"/>
    </row>
    <row r="69" spans="1:12" s="158" customFormat="1">
      <c r="A69" s="214">
        <v>68</v>
      </c>
      <c r="B69" s="37" t="s">
        <v>303</v>
      </c>
      <c r="C69" s="172" t="s">
        <v>296</v>
      </c>
      <c r="D69" s="170">
        <v>46170.291666666664</v>
      </c>
      <c r="E69" s="170">
        <v>46170.708333333336</v>
      </c>
      <c r="F69" s="10" t="str">
        <f t="shared" si="1"/>
        <v>10.0</v>
      </c>
      <c r="G69" s="208">
        <v>171598</v>
      </c>
      <c r="H69" s="205">
        <v>5686</v>
      </c>
      <c r="I69" s="166" t="s">
        <v>261</v>
      </c>
      <c r="J69" s="166" t="s">
        <v>262</v>
      </c>
      <c r="K69" s="164" t="s">
        <v>172</v>
      </c>
      <c r="L69"/>
    </row>
    <row r="70" spans="1:12" s="158" customFormat="1">
      <c r="A70" s="214">
        <v>69</v>
      </c>
      <c r="B70" s="168" t="s">
        <v>252</v>
      </c>
      <c r="C70" s="179" t="s">
        <v>325</v>
      </c>
      <c r="D70" s="170">
        <v>46170.333333333336</v>
      </c>
      <c r="E70" s="170">
        <v>46170.666666666664</v>
      </c>
      <c r="F70" s="10" t="str">
        <f t="shared" si="1"/>
        <v>8.0</v>
      </c>
      <c r="G70" s="212">
        <v>102784</v>
      </c>
      <c r="H70" s="212">
        <v>3470</v>
      </c>
      <c r="I70" s="179" t="s">
        <v>45</v>
      </c>
      <c r="J70" s="179" t="s">
        <v>45</v>
      </c>
      <c r="K70" s="216" t="s">
        <v>89</v>
      </c>
      <c r="L70"/>
    </row>
    <row r="71" spans="1:12" s="158" customFormat="1">
      <c r="A71" s="214">
        <v>70</v>
      </c>
      <c r="B71" s="4" t="s">
        <v>303</v>
      </c>
      <c r="C71" s="169" t="s">
        <v>225</v>
      </c>
      <c r="D71" s="162">
        <v>46173.5625</v>
      </c>
      <c r="E71" s="162">
        <v>46173.958333333336</v>
      </c>
      <c r="F71" s="10" t="str">
        <f t="shared" si="1"/>
        <v>9.5</v>
      </c>
      <c r="G71" s="210">
        <v>136201</v>
      </c>
      <c r="H71" s="208">
        <v>5246</v>
      </c>
      <c r="I71" s="163" t="s">
        <v>254</v>
      </c>
      <c r="J71" s="163" t="s">
        <v>89</v>
      </c>
      <c r="K71" s="164" t="s">
        <v>224</v>
      </c>
      <c r="L71"/>
    </row>
    <row r="72" spans="1:12" s="158" customFormat="1">
      <c r="A72" s="214">
        <v>71</v>
      </c>
      <c r="B72" s="37" t="s">
        <v>303</v>
      </c>
      <c r="C72" s="169" t="s">
        <v>307</v>
      </c>
      <c r="D72" s="162">
        <v>46174.291666666664</v>
      </c>
      <c r="E72" s="162">
        <v>46174.708333333336</v>
      </c>
      <c r="F72" s="10" t="str">
        <f t="shared" si="1"/>
        <v>10.0</v>
      </c>
      <c r="G72" s="210">
        <v>169379</v>
      </c>
      <c r="H72" s="208">
        <v>5622</v>
      </c>
      <c r="I72" s="163" t="s">
        <v>254</v>
      </c>
      <c r="J72" s="163" t="s">
        <v>254</v>
      </c>
      <c r="K72" s="164" t="s">
        <v>254</v>
      </c>
      <c r="L72"/>
    </row>
    <row r="73" spans="1:12" s="158" customFormat="1">
      <c r="A73" s="214">
        <v>72</v>
      </c>
      <c r="B73" s="37" t="s">
        <v>303</v>
      </c>
      <c r="C73" s="172" t="s">
        <v>225</v>
      </c>
      <c r="D73" s="170">
        <v>46176.541666666664</v>
      </c>
      <c r="E73" s="170">
        <v>46176.875</v>
      </c>
      <c r="F73" s="10" t="str">
        <f t="shared" si="1"/>
        <v>8.0</v>
      </c>
      <c r="G73" s="208">
        <v>136201</v>
      </c>
      <c r="H73" s="205">
        <v>5246</v>
      </c>
      <c r="I73" s="166" t="s">
        <v>254</v>
      </c>
      <c r="J73" s="166" t="s">
        <v>254</v>
      </c>
      <c r="K73" s="167" t="s">
        <v>36</v>
      </c>
      <c r="L73"/>
    </row>
    <row r="74" spans="1:12" s="158" customFormat="1">
      <c r="A74" s="214">
        <v>73</v>
      </c>
      <c r="B74" s="4" t="s">
        <v>303</v>
      </c>
      <c r="C74" s="180" t="s">
        <v>296</v>
      </c>
      <c r="D74" s="162">
        <v>46179.291666666664</v>
      </c>
      <c r="E74" s="162">
        <v>46179.708333333336</v>
      </c>
      <c r="F74" s="10" t="str">
        <f t="shared" si="1"/>
        <v>10.0</v>
      </c>
      <c r="G74" s="208">
        <v>171598</v>
      </c>
      <c r="H74" s="205">
        <v>5686</v>
      </c>
      <c r="I74" s="18" t="s">
        <v>261</v>
      </c>
      <c r="J74" s="1" t="s">
        <v>262</v>
      </c>
      <c r="K74" s="164" t="s">
        <v>172</v>
      </c>
      <c r="L74"/>
    </row>
    <row r="75" spans="1:12" s="158" customFormat="1">
      <c r="A75" s="214">
        <v>74</v>
      </c>
      <c r="B75" s="37" t="s">
        <v>319</v>
      </c>
      <c r="C75" s="179" t="s">
        <v>325</v>
      </c>
      <c r="D75" s="170">
        <v>46180.333333333336</v>
      </c>
      <c r="E75" s="170">
        <v>46180.666666666664</v>
      </c>
      <c r="F75" s="10" t="str">
        <f t="shared" si="1"/>
        <v>8.0</v>
      </c>
      <c r="G75" s="212">
        <v>102784</v>
      </c>
      <c r="H75" s="212">
        <v>3470</v>
      </c>
      <c r="I75" s="179" t="s">
        <v>45</v>
      </c>
      <c r="J75" s="179" t="s">
        <v>45</v>
      </c>
      <c r="K75" s="216" t="s">
        <v>89</v>
      </c>
      <c r="L75"/>
    </row>
    <row r="76" spans="1:12" s="158" customFormat="1">
      <c r="A76" s="214">
        <v>75</v>
      </c>
      <c r="B76" s="37" t="s">
        <v>303</v>
      </c>
      <c r="C76" s="169" t="s">
        <v>297</v>
      </c>
      <c r="D76" s="162">
        <v>46182.291666666664</v>
      </c>
      <c r="E76" s="162">
        <v>46182.75</v>
      </c>
      <c r="F76" s="10" t="str">
        <f t="shared" si="1"/>
        <v>11.0</v>
      </c>
      <c r="G76" s="210">
        <v>169379</v>
      </c>
      <c r="H76" s="208">
        <v>5622</v>
      </c>
      <c r="I76" s="163" t="s">
        <v>254</v>
      </c>
      <c r="J76" s="163" t="s">
        <v>254</v>
      </c>
      <c r="K76" s="164" t="s">
        <v>57</v>
      </c>
      <c r="L76"/>
    </row>
    <row r="77" spans="1:12" s="158" customFormat="1">
      <c r="A77" s="214">
        <v>76</v>
      </c>
      <c r="B77" s="37" t="s">
        <v>303</v>
      </c>
      <c r="C77" s="172" t="s">
        <v>225</v>
      </c>
      <c r="D77" s="170">
        <v>46183.541666666664</v>
      </c>
      <c r="E77" s="170">
        <v>46183.875</v>
      </c>
      <c r="F77" s="10" t="str">
        <f t="shared" si="1"/>
        <v>8.0</v>
      </c>
      <c r="G77" s="208">
        <v>136201</v>
      </c>
      <c r="H77" s="205">
        <v>5246</v>
      </c>
      <c r="I77" s="166" t="s">
        <v>254</v>
      </c>
      <c r="J77" s="166" t="s">
        <v>254</v>
      </c>
      <c r="K77" s="167" t="s">
        <v>57</v>
      </c>
      <c r="L77"/>
    </row>
    <row r="78" spans="1:12" s="158" customFormat="1">
      <c r="A78" s="214">
        <v>77</v>
      </c>
      <c r="B78" s="168" t="s">
        <v>303</v>
      </c>
      <c r="C78" s="179" t="s">
        <v>325</v>
      </c>
      <c r="D78" s="170">
        <v>46185.333333333336</v>
      </c>
      <c r="E78" s="170">
        <v>46185.666666666664</v>
      </c>
      <c r="F78" s="10" t="str">
        <f t="shared" si="1"/>
        <v>8.0</v>
      </c>
      <c r="G78" s="212">
        <v>102784</v>
      </c>
      <c r="H78" s="212">
        <v>3470</v>
      </c>
      <c r="I78" s="179" t="s">
        <v>45</v>
      </c>
      <c r="J78" s="179" t="s">
        <v>45</v>
      </c>
      <c r="K78" s="216" t="s">
        <v>89</v>
      </c>
      <c r="L78"/>
    </row>
    <row r="79" spans="1:12" s="158" customFormat="1">
      <c r="A79" s="214">
        <v>78</v>
      </c>
      <c r="B79" s="37" t="s">
        <v>303</v>
      </c>
      <c r="C79" s="169" t="s">
        <v>297</v>
      </c>
      <c r="D79" s="162">
        <v>46186.5</v>
      </c>
      <c r="E79" s="162">
        <v>46186.916666666664</v>
      </c>
      <c r="F79" s="10" t="str">
        <f t="shared" si="1"/>
        <v>10.0</v>
      </c>
      <c r="G79" s="210">
        <v>169379</v>
      </c>
      <c r="H79" s="208">
        <v>5622</v>
      </c>
      <c r="I79" s="163" t="s">
        <v>254</v>
      </c>
      <c r="J79" s="163" t="s">
        <v>254</v>
      </c>
      <c r="K79" s="164" t="s">
        <v>254</v>
      </c>
      <c r="L79"/>
    </row>
    <row r="80" spans="1:12" s="158" customFormat="1">
      <c r="A80" s="214">
        <v>79</v>
      </c>
      <c r="B80" s="37" t="s">
        <v>303</v>
      </c>
      <c r="C80" s="169" t="s">
        <v>225</v>
      </c>
      <c r="D80" s="162">
        <v>46188.291666666664</v>
      </c>
      <c r="E80" s="162">
        <v>46188.791666666664</v>
      </c>
      <c r="F80" s="10" t="str">
        <f t="shared" si="1"/>
        <v>12.0</v>
      </c>
      <c r="G80" s="210">
        <v>136201</v>
      </c>
      <c r="H80" s="208">
        <v>5246</v>
      </c>
      <c r="I80" s="163" t="s">
        <v>254</v>
      </c>
      <c r="J80" s="166" t="s">
        <v>254</v>
      </c>
      <c r="K80" s="167" t="s">
        <v>256</v>
      </c>
      <c r="L80"/>
    </row>
    <row r="81" spans="1:12" s="158" customFormat="1">
      <c r="A81" s="214">
        <v>80</v>
      </c>
      <c r="B81" s="37" t="s">
        <v>319</v>
      </c>
      <c r="C81" s="179" t="s">
        <v>325</v>
      </c>
      <c r="D81" s="170">
        <v>46190.333333333336</v>
      </c>
      <c r="E81" s="170">
        <v>46190.666666666664</v>
      </c>
      <c r="F81" s="10" t="str">
        <f t="shared" si="1"/>
        <v>8.0</v>
      </c>
      <c r="G81" s="212">
        <v>102784</v>
      </c>
      <c r="H81" s="212">
        <v>3470</v>
      </c>
      <c r="I81" s="179" t="s">
        <v>45</v>
      </c>
      <c r="J81" s="179" t="s">
        <v>45</v>
      </c>
      <c r="K81" s="216" t="s">
        <v>89</v>
      </c>
      <c r="L81"/>
    </row>
    <row r="82" spans="1:12" s="158" customFormat="1">
      <c r="A82" s="214">
        <v>81</v>
      </c>
      <c r="B82" s="37" t="s">
        <v>303</v>
      </c>
      <c r="C82" s="169" t="s">
        <v>225</v>
      </c>
      <c r="D82" s="162">
        <v>46192.541666666664</v>
      </c>
      <c r="E82" s="162">
        <v>46192.916666666664</v>
      </c>
      <c r="F82" s="10" t="str">
        <f t="shared" si="1"/>
        <v>9.0</v>
      </c>
      <c r="G82" s="210">
        <v>136201</v>
      </c>
      <c r="H82" s="208">
        <v>5246</v>
      </c>
      <c r="I82" s="163" t="s">
        <v>254</v>
      </c>
      <c r="J82" s="163" t="s">
        <v>224</v>
      </c>
      <c r="K82" s="164" t="s">
        <v>224</v>
      </c>
      <c r="L82"/>
    </row>
    <row r="83" spans="1:12" s="158" customFormat="1">
      <c r="A83" s="214">
        <v>82</v>
      </c>
      <c r="B83" s="37" t="s">
        <v>319</v>
      </c>
      <c r="C83" s="172" t="s">
        <v>297</v>
      </c>
      <c r="D83" s="170">
        <v>46194.291666666664</v>
      </c>
      <c r="E83" s="170">
        <v>46194.75</v>
      </c>
      <c r="F83" s="10" t="str">
        <f t="shared" si="1"/>
        <v>11.0</v>
      </c>
      <c r="G83" s="208">
        <v>169379</v>
      </c>
      <c r="H83" s="205">
        <v>5622</v>
      </c>
      <c r="I83" s="166" t="s">
        <v>254</v>
      </c>
      <c r="J83" s="166" t="s">
        <v>254</v>
      </c>
      <c r="K83" s="167" t="s">
        <v>57</v>
      </c>
      <c r="L83"/>
    </row>
    <row r="84" spans="1:12" s="158" customFormat="1">
      <c r="A84" s="214">
        <v>83</v>
      </c>
      <c r="B84" s="37" t="s">
        <v>303</v>
      </c>
      <c r="C84" s="169" t="s">
        <v>225</v>
      </c>
      <c r="D84" s="162">
        <v>46195.541666666664</v>
      </c>
      <c r="E84" s="162">
        <v>46195.916666666664</v>
      </c>
      <c r="F84" s="10" t="str">
        <f t="shared" si="1"/>
        <v>9.0</v>
      </c>
      <c r="G84" s="210">
        <v>136201</v>
      </c>
      <c r="H84" s="208">
        <v>5246</v>
      </c>
      <c r="I84" s="163" t="s">
        <v>254</v>
      </c>
      <c r="J84" s="163" t="s">
        <v>224</v>
      </c>
      <c r="K84" s="164" t="s">
        <v>57</v>
      </c>
      <c r="L84"/>
    </row>
    <row r="85" spans="1:12" s="158" customFormat="1">
      <c r="A85" s="214">
        <v>84</v>
      </c>
      <c r="B85" s="37" t="s">
        <v>252</v>
      </c>
      <c r="C85" s="179" t="s">
        <v>325</v>
      </c>
      <c r="D85" s="170">
        <v>46195.333333333336</v>
      </c>
      <c r="E85" s="170">
        <v>46195.666666666664</v>
      </c>
      <c r="F85" s="10" t="str">
        <f t="shared" si="1"/>
        <v>8.0</v>
      </c>
      <c r="G85" s="212">
        <v>102784</v>
      </c>
      <c r="H85" s="212">
        <v>3470</v>
      </c>
      <c r="I85" s="179" t="s">
        <v>45</v>
      </c>
      <c r="J85" s="179" t="s">
        <v>45</v>
      </c>
      <c r="K85" s="216" t="s">
        <v>89</v>
      </c>
      <c r="L85"/>
    </row>
    <row r="86" spans="1:12" s="158" customFormat="1">
      <c r="A86" s="214">
        <v>85</v>
      </c>
      <c r="B86" s="37" t="s">
        <v>303</v>
      </c>
      <c r="C86" s="169" t="s">
        <v>225</v>
      </c>
      <c r="D86" s="162">
        <v>46199.541666666664</v>
      </c>
      <c r="E86" s="162">
        <v>46199.875</v>
      </c>
      <c r="F86" s="10" t="str">
        <f t="shared" si="1"/>
        <v>8.0</v>
      </c>
      <c r="G86" s="210">
        <v>136201</v>
      </c>
      <c r="H86" s="208">
        <v>5246</v>
      </c>
      <c r="I86" s="163" t="s">
        <v>254</v>
      </c>
      <c r="J86" s="163" t="s">
        <v>224</v>
      </c>
      <c r="K86" s="164" t="s">
        <v>57</v>
      </c>
      <c r="L86"/>
    </row>
    <row r="87" spans="1:12" s="158" customFormat="1">
      <c r="A87" s="214">
        <v>86</v>
      </c>
      <c r="B87" s="168" t="s">
        <v>303</v>
      </c>
      <c r="C87" s="169" t="s">
        <v>225</v>
      </c>
      <c r="D87" s="162">
        <v>46203.541666666664</v>
      </c>
      <c r="E87" s="162">
        <v>46203.875</v>
      </c>
      <c r="F87" s="10" t="str">
        <f t="shared" si="1"/>
        <v>8.0</v>
      </c>
      <c r="G87" s="210">
        <v>136201</v>
      </c>
      <c r="H87" s="208">
        <v>5246</v>
      </c>
      <c r="I87" s="163" t="s">
        <v>224</v>
      </c>
      <c r="J87" s="163" t="s">
        <v>224</v>
      </c>
      <c r="K87" s="164" t="s">
        <v>57</v>
      </c>
      <c r="L87"/>
    </row>
    <row r="88" spans="1:12" s="158" customFormat="1">
      <c r="A88" s="214">
        <v>87</v>
      </c>
      <c r="B88" s="168" t="s">
        <v>319</v>
      </c>
      <c r="C88" s="169" t="s">
        <v>325</v>
      </c>
      <c r="D88" s="162">
        <v>46205.645833333336</v>
      </c>
      <c r="E88" s="162">
        <v>46205.875</v>
      </c>
      <c r="F88" s="10" t="str">
        <f t="shared" si="1"/>
        <v>5.5</v>
      </c>
      <c r="G88" s="210">
        <v>102784</v>
      </c>
      <c r="H88" s="208">
        <v>3470</v>
      </c>
      <c r="I88" s="163" t="s">
        <v>163</v>
      </c>
      <c r="J88" s="163" t="s">
        <v>163</v>
      </c>
      <c r="K88" s="164" t="s">
        <v>89</v>
      </c>
      <c r="L88"/>
    </row>
    <row r="89" spans="1:12" s="158" customFormat="1">
      <c r="A89" s="214">
        <v>88</v>
      </c>
      <c r="B89" s="168" t="s">
        <v>303</v>
      </c>
      <c r="C89" s="172" t="s">
        <v>225</v>
      </c>
      <c r="D89" s="170">
        <v>46207.541666666664</v>
      </c>
      <c r="E89" s="170">
        <v>46207.916666666664</v>
      </c>
      <c r="F89" s="10" t="str">
        <f t="shared" si="1"/>
        <v>9.0</v>
      </c>
      <c r="G89" s="208">
        <v>136201</v>
      </c>
      <c r="H89" s="205">
        <v>5246</v>
      </c>
      <c r="I89" s="166" t="s">
        <v>254</v>
      </c>
      <c r="J89" s="166" t="s">
        <v>224</v>
      </c>
      <c r="K89" s="167" t="s">
        <v>224</v>
      </c>
      <c r="L89"/>
    </row>
    <row r="90" spans="1:12" s="158" customFormat="1">
      <c r="A90" s="214">
        <v>89</v>
      </c>
      <c r="B90" s="32" t="s">
        <v>303</v>
      </c>
      <c r="C90" s="157" t="s">
        <v>225</v>
      </c>
      <c r="D90" s="162">
        <v>46210.541666666664</v>
      </c>
      <c r="E90" s="162">
        <v>46210.875</v>
      </c>
      <c r="F90" s="10" t="str">
        <f t="shared" si="1"/>
        <v>8.0</v>
      </c>
      <c r="G90" s="208">
        <v>136201</v>
      </c>
      <c r="H90" s="205">
        <v>5246</v>
      </c>
      <c r="I90" s="1" t="s">
        <v>254</v>
      </c>
      <c r="J90" s="1" t="s">
        <v>254</v>
      </c>
      <c r="K90" s="164" t="s">
        <v>57</v>
      </c>
      <c r="L90"/>
    </row>
    <row r="91" spans="1:12" s="158" customFormat="1">
      <c r="A91" s="214">
        <v>90</v>
      </c>
      <c r="B91" s="32" t="s">
        <v>252</v>
      </c>
      <c r="C91" s="169" t="s">
        <v>325</v>
      </c>
      <c r="D91" s="162">
        <v>46210.625</v>
      </c>
      <c r="E91" s="162">
        <v>46210.958333333336</v>
      </c>
      <c r="F91" s="10" t="str">
        <f t="shared" si="1"/>
        <v>8.0</v>
      </c>
      <c r="G91" s="210">
        <v>102784</v>
      </c>
      <c r="H91" s="208">
        <v>3470</v>
      </c>
      <c r="I91" s="163" t="s">
        <v>163</v>
      </c>
      <c r="J91" s="163" t="s">
        <v>89</v>
      </c>
      <c r="K91" s="164" t="s">
        <v>163</v>
      </c>
      <c r="L91"/>
    </row>
    <row r="92" spans="1:12" s="158" customFormat="1">
      <c r="A92" s="214">
        <v>91</v>
      </c>
      <c r="B92" s="37" t="s">
        <v>303</v>
      </c>
      <c r="C92" s="169" t="s">
        <v>225</v>
      </c>
      <c r="D92" s="162">
        <v>46214.541666666664</v>
      </c>
      <c r="E92" s="162">
        <v>46214.875</v>
      </c>
      <c r="F92" s="10" t="str">
        <f t="shared" si="1"/>
        <v>8.0</v>
      </c>
      <c r="G92" s="210">
        <v>136201</v>
      </c>
      <c r="H92" s="208">
        <v>5246</v>
      </c>
      <c r="I92" s="163" t="s">
        <v>224</v>
      </c>
      <c r="J92" s="163" t="s">
        <v>254</v>
      </c>
      <c r="K92" s="164" t="s">
        <v>57</v>
      </c>
      <c r="L92"/>
    </row>
    <row r="93" spans="1:12" s="158" customFormat="1">
      <c r="A93" s="214">
        <v>92</v>
      </c>
      <c r="B93" s="37" t="s">
        <v>252</v>
      </c>
      <c r="C93" s="172" t="s">
        <v>297</v>
      </c>
      <c r="D93" s="170">
        <v>46214.291666666664</v>
      </c>
      <c r="E93" s="170">
        <v>46214.791666666664</v>
      </c>
      <c r="F93" s="10" t="str">
        <f t="shared" ref="F93" si="2">TEXT((VALUE(E93)-VALUE(D93))*24,"0.0")</f>
        <v>12.0</v>
      </c>
      <c r="G93" s="208">
        <v>169379</v>
      </c>
      <c r="H93" s="205">
        <v>5622</v>
      </c>
      <c r="I93" s="166" t="s">
        <v>254</v>
      </c>
      <c r="J93" s="166" t="s">
        <v>57</v>
      </c>
      <c r="K93" s="167" t="s">
        <v>224</v>
      </c>
      <c r="L93"/>
    </row>
    <row r="94" spans="1:12" s="158" customFormat="1">
      <c r="A94" s="214">
        <v>93</v>
      </c>
      <c r="B94" s="37" t="s">
        <v>303</v>
      </c>
      <c r="C94" s="169" t="s">
        <v>296</v>
      </c>
      <c r="D94" s="162">
        <v>46217.3125</v>
      </c>
      <c r="E94" s="162">
        <v>46217.791666666664</v>
      </c>
      <c r="F94" s="10" t="str">
        <f t="shared" si="1"/>
        <v>11.5</v>
      </c>
      <c r="G94" s="208">
        <v>171598</v>
      </c>
      <c r="H94" s="208">
        <v>5686</v>
      </c>
      <c r="I94" s="163" t="s">
        <v>287</v>
      </c>
      <c r="J94" s="163" t="s">
        <v>287</v>
      </c>
      <c r="K94" s="164" t="s">
        <v>255</v>
      </c>
      <c r="L94"/>
    </row>
    <row r="95" spans="1:12" s="158" customFormat="1">
      <c r="A95" s="214">
        <v>94</v>
      </c>
      <c r="B95" s="217" t="s">
        <v>303</v>
      </c>
      <c r="C95" s="169" t="s">
        <v>225</v>
      </c>
      <c r="D95" s="162">
        <v>46218.541666666664</v>
      </c>
      <c r="E95" s="162">
        <v>46218.875</v>
      </c>
      <c r="F95" s="10" t="str">
        <f t="shared" si="1"/>
        <v>8.0</v>
      </c>
      <c r="G95" s="210">
        <v>136201</v>
      </c>
      <c r="H95" s="208">
        <v>5246</v>
      </c>
      <c r="I95" s="163" t="s">
        <v>254</v>
      </c>
      <c r="J95" s="163" t="s">
        <v>254</v>
      </c>
      <c r="K95" s="164" t="s">
        <v>57</v>
      </c>
      <c r="L95" s="220"/>
    </row>
    <row r="96" spans="1:12" s="158" customFormat="1">
      <c r="A96" s="214">
        <v>95</v>
      </c>
      <c r="B96" s="37" t="s">
        <v>303</v>
      </c>
      <c r="C96" s="172" t="s">
        <v>297</v>
      </c>
      <c r="D96" s="170">
        <v>46220.291666666664</v>
      </c>
      <c r="E96" s="170">
        <v>46220.708333333336</v>
      </c>
      <c r="F96" s="10" t="str">
        <f t="shared" si="1"/>
        <v>10.0</v>
      </c>
      <c r="G96" s="208">
        <v>169379</v>
      </c>
      <c r="H96" s="205">
        <v>5622</v>
      </c>
      <c r="I96" s="166" t="s">
        <v>254</v>
      </c>
      <c r="J96" s="166" t="s">
        <v>224</v>
      </c>
      <c r="K96" s="167" t="s">
        <v>224</v>
      </c>
      <c r="L96"/>
    </row>
    <row r="97" spans="1:12" s="158" customFormat="1">
      <c r="A97" s="214">
        <v>96</v>
      </c>
      <c r="B97" s="37" t="s">
        <v>303</v>
      </c>
      <c r="C97" s="169" t="s">
        <v>325</v>
      </c>
      <c r="D97" s="170">
        <v>46221.416666666664</v>
      </c>
      <c r="E97" s="170">
        <v>46221.75</v>
      </c>
      <c r="F97" s="10" t="str">
        <f t="shared" si="1"/>
        <v>8.0</v>
      </c>
      <c r="G97" s="210">
        <v>102784</v>
      </c>
      <c r="H97" s="208">
        <v>3470</v>
      </c>
      <c r="I97" s="163" t="s">
        <v>45</v>
      </c>
      <c r="J97" s="166" t="s">
        <v>57</v>
      </c>
      <c r="K97" s="167" t="s">
        <v>45</v>
      </c>
      <c r="L97"/>
    </row>
    <row r="98" spans="1:12" s="158" customFormat="1">
      <c r="A98" s="214">
        <v>97</v>
      </c>
      <c r="B98" s="32" t="s">
        <v>303</v>
      </c>
      <c r="C98" s="184" t="s">
        <v>225</v>
      </c>
      <c r="D98" s="162">
        <v>46222.541666666664</v>
      </c>
      <c r="E98" s="162">
        <v>46222.875</v>
      </c>
      <c r="F98" s="10" t="str">
        <f t="shared" si="1"/>
        <v>8.0</v>
      </c>
      <c r="G98" s="210">
        <v>136201</v>
      </c>
      <c r="H98" s="208">
        <v>5246</v>
      </c>
      <c r="I98" s="215" t="s">
        <v>254</v>
      </c>
      <c r="J98" s="215" t="s">
        <v>254</v>
      </c>
      <c r="K98" s="164" t="s">
        <v>57</v>
      </c>
      <c r="L98"/>
    </row>
    <row r="99" spans="1:12" s="158" customFormat="1">
      <c r="A99" s="214">
        <v>98</v>
      </c>
      <c r="B99" s="37" t="s">
        <v>319</v>
      </c>
      <c r="C99" s="169" t="s">
        <v>325</v>
      </c>
      <c r="D99" s="162">
        <v>46225.333333333336</v>
      </c>
      <c r="E99" s="162">
        <v>46225.666666666664</v>
      </c>
      <c r="F99" s="10" t="str">
        <f t="shared" si="1"/>
        <v>8.0</v>
      </c>
      <c r="G99" s="210">
        <v>102784</v>
      </c>
      <c r="H99" s="208">
        <v>3470</v>
      </c>
      <c r="I99" s="163" t="s">
        <v>45</v>
      </c>
      <c r="J99" s="163" t="s">
        <v>45</v>
      </c>
      <c r="K99" s="164" t="s">
        <v>89</v>
      </c>
      <c r="L99" s="201"/>
    </row>
    <row r="100" spans="1:12" s="158" customFormat="1">
      <c r="A100" s="214">
        <v>99</v>
      </c>
      <c r="B100" s="37" t="s">
        <v>319</v>
      </c>
      <c r="C100" s="184" t="s">
        <v>225</v>
      </c>
      <c r="D100" s="162">
        <v>46226.541666666664</v>
      </c>
      <c r="E100" s="162">
        <v>46226.875</v>
      </c>
      <c r="F100" s="10" t="str">
        <f t="shared" si="1"/>
        <v>8.0</v>
      </c>
      <c r="G100" s="210">
        <v>136201</v>
      </c>
      <c r="H100" s="208">
        <v>5246</v>
      </c>
      <c r="I100" s="215" t="s">
        <v>254</v>
      </c>
      <c r="J100" s="215" t="s">
        <v>254</v>
      </c>
      <c r="K100" s="164" t="s">
        <v>57</v>
      </c>
      <c r="L100" s="201"/>
    </row>
    <row r="101" spans="1:12" s="158" customFormat="1">
      <c r="A101" s="214">
        <v>100</v>
      </c>
      <c r="B101" s="37" t="s">
        <v>303</v>
      </c>
      <c r="C101" s="169" t="s">
        <v>300</v>
      </c>
      <c r="D101" s="162">
        <v>46228.291666666664</v>
      </c>
      <c r="E101" s="162">
        <v>46228.625</v>
      </c>
      <c r="F101" s="10" t="str">
        <f t="shared" si="1"/>
        <v>8.0</v>
      </c>
      <c r="G101" s="210">
        <v>115906</v>
      </c>
      <c r="H101" s="208">
        <v>3247</v>
      </c>
      <c r="I101" s="163" t="s">
        <v>263</v>
      </c>
      <c r="J101" s="163" t="s">
        <v>268</v>
      </c>
      <c r="K101" s="164" t="s">
        <v>172</v>
      </c>
      <c r="L101"/>
    </row>
    <row r="102" spans="1:12" s="158" customFormat="1">
      <c r="A102" s="214">
        <v>101</v>
      </c>
      <c r="B102" s="168" t="s">
        <v>303</v>
      </c>
      <c r="C102" s="169" t="s">
        <v>333</v>
      </c>
      <c r="D102" s="162">
        <v>46230.333333333336</v>
      </c>
      <c r="E102" s="162">
        <v>46230.666666666664</v>
      </c>
      <c r="F102" s="10" t="str">
        <f t="shared" si="1"/>
        <v>8.0</v>
      </c>
      <c r="G102" s="210">
        <v>102784</v>
      </c>
      <c r="H102" s="208">
        <v>3470</v>
      </c>
      <c r="I102" s="163" t="s">
        <v>45</v>
      </c>
      <c r="J102" s="163" t="s">
        <v>45</v>
      </c>
      <c r="K102" s="164" t="s">
        <v>89</v>
      </c>
      <c r="L102"/>
    </row>
    <row r="103" spans="1:12" s="158" customFormat="1">
      <c r="A103" s="214">
        <v>102</v>
      </c>
      <c r="B103" s="168" t="s">
        <v>252</v>
      </c>
      <c r="C103" s="169" t="s">
        <v>225</v>
      </c>
      <c r="D103" s="162">
        <v>46230.541666666664</v>
      </c>
      <c r="E103" s="162">
        <v>46230.875</v>
      </c>
      <c r="F103" s="10" t="str">
        <f t="shared" si="1"/>
        <v>8.0</v>
      </c>
      <c r="G103" s="210">
        <v>136201</v>
      </c>
      <c r="H103" s="208">
        <v>5246</v>
      </c>
      <c r="I103" s="163" t="s">
        <v>254</v>
      </c>
      <c r="J103" s="163" t="s">
        <v>254</v>
      </c>
      <c r="K103" s="164" t="s">
        <v>29</v>
      </c>
      <c r="L103"/>
    </row>
    <row r="104" spans="1:12" s="158" customFormat="1">
      <c r="A104" s="214">
        <v>103</v>
      </c>
      <c r="B104" s="168" t="s">
        <v>319</v>
      </c>
      <c r="C104" s="169" t="s">
        <v>225</v>
      </c>
      <c r="D104" s="170">
        <v>46234.541666666664</v>
      </c>
      <c r="E104" s="170">
        <v>46234.875</v>
      </c>
      <c r="F104" s="10" t="str">
        <f t="shared" si="1"/>
        <v>8.0</v>
      </c>
      <c r="G104" s="210">
        <v>136201</v>
      </c>
      <c r="H104" s="208">
        <v>5246</v>
      </c>
      <c r="I104" s="163" t="s">
        <v>224</v>
      </c>
      <c r="J104" s="163" t="s">
        <v>224</v>
      </c>
      <c r="K104" s="164" t="s">
        <v>203</v>
      </c>
      <c r="L104" s="201"/>
    </row>
    <row r="105" spans="1:12" s="158" customFormat="1">
      <c r="A105" s="214">
        <v>104</v>
      </c>
      <c r="B105" s="168" t="s">
        <v>303</v>
      </c>
      <c r="C105" s="169" t="s">
        <v>297</v>
      </c>
      <c r="D105" s="162">
        <v>46235.5</v>
      </c>
      <c r="E105" s="162">
        <v>46235.916666666664</v>
      </c>
      <c r="F105" s="10" t="str">
        <f t="shared" si="1"/>
        <v>10.0</v>
      </c>
      <c r="G105" s="210">
        <v>169379</v>
      </c>
      <c r="H105" s="208">
        <v>5622</v>
      </c>
      <c r="I105" s="163" t="s">
        <v>254</v>
      </c>
      <c r="J105" s="163" t="s">
        <v>224</v>
      </c>
      <c r="K105" s="164" t="s">
        <v>224</v>
      </c>
      <c r="L105"/>
    </row>
    <row r="106" spans="1:12" s="158" customFormat="1">
      <c r="A106" s="214">
        <v>105</v>
      </c>
      <c r="B106" s="168" t="s">
        <v>319</v>
      </c>
      <c r="C106" s="157" t="s">
        <v>296</v>
      </c>
      <c r="D106" s="162">
        <v>46236.583333333336</v>
      </c>
      <c r="E106" s="162">
        <v>46236.875</v>
      </c>
      <c r="F106" s="10" t="str">
        <f t="shared" si="1"/>
        <v>7.0</v>
      </c>
      <c r="G106" s="208">
        <v>171598</v>
      </c>
      <c r="H106" s="208">
        <v>5686</v>
      </c>
      <c r="I106" s="163" t="s">
        <v>224</v>
      </c>
      <c r="J106" s="163" t="s">
        <v>254</v>
      </c>
      <c r="K106" s="164" t="s">
        <v>256</v>
      </c>
      <c r="L106" s="201"/>
    </row>
    <row r="107" spans="1:12" s="158" customFormat="1">
      <c r="A107" s="214">
        <v>106</v>
      </c>
      <c r="B107" s="183" t="s">
        <v>319</v>
      </c>
      <c r="C107" s="157" t="s">
        <v>225</v>
      </c>
      <c r="D107" s="170">
        <v>46239.541666666664</v>
      </c>
      <c r="E107" s="170">
        <v>46239.875</v>
      </c>
      <c r="F107" s="10" t="str">
        <f t="shared" si="1"/>
        <v>8.0</v>
      </c>
      <c r="G107" s="210">
        <v>136201</v>
      </c>
      <c r="H107" s="208">
        <v>5246</v>
      </c>
      <c r="I107" s="215" t="s">
        <v>254</v>
      </c>
      <c r="J107" s="215" t="s">
        <v>224</v>
      </c>
      <c r="K107" s="164" t="s">
        <v>57</v>
      </c>
      <c r="L107" s="201"/>
    </row>
    <row r="108" spans="1:12" s="158" customFormat="1">
      <c r="A108" s="214">
        <v>107</v>
      </c>
      <c r="B108" s="183" t="s">
        <v>319</v>
      </c>
      <c r="C108" s="169" t="s">
        <v>325</v>
      </c>
      <c r="D108" s="162">
        <v>46240.333333333336</v>
      </c>
      <c r="E108" s="162">
        <v>46240.666666666664</v>
      </c>
      <c r="F108" s="10" t="str">
        <f t="shared" si="1"/>
        <v>8.0</v>
      </c>
      <c r="G108" s="210">
        <v>102784</v>
      </c>
      <c r="H108" s="208">
        <v>3470</v>
      </c>
      <c r="I108" s="163" t="s">
        <v>45</v>
      </c>
      <c r="J108" s="163" t="s">
        <v>45</v>
      </c>
      <c r="K108" s="164" t="s">
        <v>89</v>
      </c>
      <c r="L108"/>
    </row>
    <row r="109" spans="1:12" s="158" customFormat="1">
      <c r="A109" s="214">
        <v>108</v>
      </c>
      <c r="B109" s="183" t="s">
        <v>252</v>
      </c>
      <c r="C109" s="169" t="s">
        <v>296</v>
      </c>
      <c r="D109" s="162">
        <v>46240.604166666664</v>
      </c>
      <c r="E109" s="162">
        <v>46240.916666666664</v>
      </c>
      <c r="F109" s="10" t="str">
        <f t="shared" si="1"/>
        <v>7.5</v>
      </c>
      <c r="G109" s="208">
        <v>171598</v>
      </c>
      <c r="H109" s="208">
        <v>5686</v>
      </c>
      <c r="I109" s="163" t="s">
        <v>254</v>
      </c>
      <c r="J109" s="163" t="s">
        <v>254</v>
      </c>
      <c r="K109" s="164" t="s">
        <v>256</v>
      </c>
      <c r="L109"/>
    </row>
    <row r="110" spans="1:12" s="158" customFormat="1">
      <c r="A110" s="214">
        <v>109</v>
      </c>
      <c r="B110" s="168" t="s">
        <v>319</v>
      </c>
      <c r="C110" s="157" t="s">
        <v>225</v>
      </c>
      <c r="D110" s="170">
        <v>46243.541666666664</v>
      </c>
      <c r="E110" s="170">
        <v>46244.75</v>
      </c>
      <c r="F110" s="10" t="str">
        <f t="shared" si="1"/>
        <v>29.0</v>
      </c>
      <c r="G110" s="210">
        <v>136201</v>
      </c>
      <c r="H110" s="208">
        <v>5246</v>
      </c>
      <c r="I110" s="215" t="s">
        <v>254</v>
      </c>
      <c r="J110" s="215" t="s">
        <v>224</v>
      </c>
      <c r="K110" s="164" t="s">
        <v>254</v>
      </c>
      <c r="L110" s="201" t="s">
        <v>304</v>
      </c>
    </row>
    <row r="111" spans="1:12" s="204" customFormat="1">
      <c r="A111" s="214">
        <v>110</v>
      </c>
      <c r="B111" s="183" t="s">
        <v>319</v>
      </c>
      <c r="C111" s="169" t="s">
        <v>325</v>
      </c>
      <c r="D111" s="162">
        <v>46245.333333333336</v>
      </c>
      <c r="E111" s="162">
        <v>46245.666666666664</v>
      </c>
      <c r="F111" s="10" t="str">
        <f t="shared" si="1"/>
        <v>8.0</v>
      </c>
      <c r="G111" s="210">
        <v>102784</v>
      </c>
      <c r="H111" s="208">
        <v>3470</v>
      </c>
      <c r="I111" s="163" t="s">
        <v>45</v>
      </c>
      <c r="J111" s="163" t="s">
        <v>45</v>
      </c>
      <c r="K111" s="164" t="s">
        <v>89</v>
      </c>
      <c r="L111" s="201"/>
    </row>
    <row r="112" spans="1:12" s="204" customFormat="1">
      <c r="A112" s="214">
        <v>111</v>
      </c>
      <c r="B112" s="37" t="s">
        <v>303</v>
      </c>
      <c r="C112" s="169" t="s">
        <v>296</v>
      </c>
      <c r="D112" s="162">
        <v>46249.583333333336</v>
      </c>
      <c r="E112" s="162">
        <v>46249.875</v>
      </c>
      <c r="F112" s="10" t="str">
        <f t="shared" ref="F112:F171" si="3">TEXT((VALUE(E112)-VALUE(D112))*24,"0.0")</f>
        <v>7.0</v>
      </c>
      <c r="G112" s="208">
        <v>171598</v>
      </c>
      <c r="H112" s="208">
        <v>5686</v>
      </c>
      <c r="I112" s="163" t="s">
        <v>254</v>
      </c>
      <c r="J112" s="163" t="s">
        <v>254</v>
      </c>
      <c r="K112" s="164" t="s">
        <v>256</v>
      </c>
      <c r="L112"/>
    </row>
    <row r="113" spans="1:12" s="158" customFormat="1">
      <c r="A113" s="214">
        <v>112</v>
      </c>
      <c r="B113" s="37" t="s">
        <v>303</v>
      </c>
      <c r="C113" s="169" t="s">
        <v>325</v>
      </c>
      <c r="D113" s="162">
        <v>46250.333333333336</v>
      </c>
      <c r="E113" s="162">
        <v>46250.666666666664</v>
      </c>
      <c r="F113" s="10" t="str">
        <f t="shared" si="3"/>
        <v>8.0</v>
      </c>
      <c r="G113" s="210">
        <v>102784</v>
      </c>
      <c r="H113" s="208">
        <v>3470</v>
      </c>
      <c r="I113" s="163" t="s">
        <v>45</v>
      </c>
      <c r="J113" s="163" t="s">
        <v>45</v>
      </c>
      <c r="K113" s="164" t="s">
        <v>89</v>
      </c>
      <c r="L113"/>
    </row>
    <row r="114" spans="1:12" s="158" customFormat="1">
      <c r="A114" s="214">
        <v>113</v>
      </c>
      <c r="B114" s="37" t="s">
        <v>319</v>
      </c>
      <c r="C114" s="169" t="s">
        <v>272</v>
      </c>
      <c r="D114" s="170">
        <v>46253.583333333336</v>
      </c>
      <c r="E114" s="170">
        <v>46253.916666666664</v>
      </c>
      <c r="F114" s="10" t="str">
        <f t="shared" si="3"/>
        <v>8.0</v>
      </c>
      <c r="G114" s="208">
        <v>77499</v>
      </c>
      <c r="H114" s="205">
        <v>2270</v>
      </c>
      <c r="I114" s="166" t="s">
        <v>254</v>
      </c>
      <c r="J114" s="166" t="s">
        <v>254</v>
      </c>
      <c r="K114" s="164" t="s">
        <v>256</v>
      </c>
      <c r="L114" s="201"/>
    </row>
    <row r="115" spans="1:12" s="158" customFormat="1">
      <c r="A115" s="214">
        <v>114</v>
      </c>
      <c r="B115" s="168" t="s">
        <v>303</v>
      </c>
      <c r="C115" s="169" t="s">
        <v>325</v>
      </c>
      <c r="D115" s="162">
        <v>46255.333333333336</v>
      </c>
      <c r="E115" s="162">
        <v>46255.666666666664</v>
      </c>
      <c r="F115" s="10" t="str">
        <f t="shared" si="3"/>
        <v>8.0</v>
      </c>
      <c r="G115" s="210">
        <v>102784</v>
      </c>
      <c r="H115" s="208">
        <v>3470</v>
      </c>
      <c r="I115" s="163" t="s">
        <v>45</v>
      </c>
      <c r="J115" s="163" t="s">
        <v>45</v>
      </c>
      <c r="K115" s="164" t="s">
        <v>89</v>
      </c>
      <c r="L115"/>
    </row>
    <row r="116" spans="1:12" s="158" customFormat="1" ht="15" customHeight="1">
      <c r="A116" s="214">
        <v>115</v>
      </c>
      <c r="B116" s="183" t="s">
        <v>303</v>
      </c>
      <c r="C116" s="169" t="s">
        <v>297</v>
      </c>
      <c r="D116" s="162">
        <v>46256.5</v>
      </c>
      <c r="E116" s="162">
        <v>46256.916666666664</v>
      </c>
      <c r="F116" s="10" t="str">
        <f t="shared" si="3"/>
        <v>10.0</v>
      </c>
      <c r="G116" s="210">
        <v>169379</v>
      </c>
      <c r="H116" s="208">
        <v>5622</v>
      </c>
      <c r="I116" s="163" t="s">
        <v>254</v>
      </c>
      <c r="J116" s="163" t="s">
        <v>254</v>
      </c>
      <c r="K116" s="164" t="s">
        <v>254</v>
      </c>
      <c r="L116"/>
    </row>
    <row r="117" spans="1:12" s="158" customFormat="1" ht="15" customHeight="1">
      <c r="A117" s="214">
        <v>116</v>
      </c>
      <c r="B117" s="168" t="s">
        <v>303</v>
      </c>
      <c r="C117" s="172" t="s">
        <v>296</v>
      </c>
      <c r="D117" s="170">
        <v>46258.604166666664</v>
      </c>
      <c r="E117" s="170">
        <v>46258.916666666664</v>
      </c>
      <c r="F117" s="10" t="str">
        <f t="shared" si="3"/>
        <v>7.5</v>
      </c>
      <c r="G117" s="208">
        <v>171598</v>
      </c>
      <c r="H117" s="205">
        <v>5686</v>
      </c>
      <c r="I117" s="166" t="s">
        <v>254</v>
      </c>
      <c r="J117" s="166" t="s">
        <v>254</v>
      </c>
      <c r="K117" s="167" t="s">
        <v>256</v>
      </c>
      <c r="L117"/>
    </row>
    <row r="118" spans="1:12" s="158" customFormat="1" ht="15" customHeight="1">
      <c r="A118" s="214">
        <v>117</v>
      </c>
      <c r="B118" s="168" t="s">
        <v>303</v>
      </c>
      <c r="C118" s="169" t="s">
        <v>325</v>
      </c>
      <c r="D118" s="162">
        <v>46260.333333333336</v>
      </c>
      <c r="E118" s="162">
        <v>46260.666666666664</v>
      </c>
      <c r="F118" s="10" t="str">
        <f t="shared" si="3"/>
        <v>8.0</v>
      </c>
      <c r="G118" s="210">
        <v>102784</v>
      </c>
      <c r="H118" s="208">
        <v>3470</v>
      </c>
      <c r="I118" s="163" t="s">
        <v>45</v>
      </c>
      <c r="J118" s="163" t="s">
        <v>45</v>
      </c>
      <c r="K118" s="164" t="s">
        <v>89</v>
      </c>
      <c r="L118"/>
    </row>
    <row r="119" spans="1:12" s="158" customFormat="1">
      <c r="A119" s="214">
        <v>118</v>
      </c>
      <c r="B119" s="168" t="s">
        <v>303</v>
      </c>
      <c r="C119" s="157" t="s">
        <v>296</v>
      </c>
      <c r="D119" s="162">
        <v>46262.604166666664</v>
      </c>
      <c r="E119" s="162">
        <v>46262.916666666664</v>
      </c>
      <c r="F119" s="10" t="str">
        <f t="shared" si="3"/>
        <v>7.5</v>
      </c>
      <c r="G119" s="208">
        <v>171598</v>
      </c>
      <c r="H119" s="205">
        <v>5686</v>
      </c>
      <c r="I119" s="1" t="s">
        <v>254</v>
      </c>
      <c r="J119" s="1" t="s">
        <v>254</v>
      </c>
      <c r="K119" s="167" t="s">
        <v>256</v>
      </c>
      <c r="L119"/>
    </row>
    <row r="120" spans="1:12" s="158" customFormat="1">
      <c r="A120" s="214">
        <v>119</v>
      </c>
      <c r="B120" s="183" t="s">
        <v>303</v>
      </c>
      <c r="C120" s="169" t="s">
        <v>283</v>
      </c>
      <c r="D120" s="162">
        <v>46263.333333333336</v>
      </c>
      <c r="E120" s="162">
        <v>46263.666666666664</v>
      </c>
      <c r="F120" s="10" t="str">
        <f t="shared" si="3"/>
        <v>8.0</v>
      </c>
      <c r="G120" s="210">
        <v>85619</v>
      </c>
      <c r="H120" s="208">
        <v>2680</v>
      </c>
      <c r="I120" s="163" t="s">
        <v>269</v>
      </c>
      <c r="J120" s="163" t="s">
        <v>269</v>
      </c>
      <c r="K120" s="164" t="s">
        <v>57</v>
      </c>
      <c r="L120"/>
    </row>
    <row r="121" spans="1:12" s="158" customFormat="1">
      <c r="A121" s="214">
        <v>120</v>
      </c>
      <c r="B121" s="183" t="s">
        <v>303</v>
      </c>
      <c r="C121" s="169" t="s">
        <v>325</v>
      </c>
      <c r="D121" s="162">
        <v>46265.333333333336</v>
      </c>
      <c r="E121" s="162">
        <v>46265.666666666664</v>
      </c>
      <c r="F121" s="10" t="str">
        <f t="shared" si="3"/>
        <v>8.0</v>
      </c>
      <c r="G121" s="210">
        <v>102784</v>
      </c>
      <c r="H121" s="208">
        <v>3470</v>
      </c>
      <c r="I121" s="163" t="s">
        <v>45</v>
      </c>
      <c r="J121" s="163" t="s">
        <v>45</v>
      </c>
      <c r="K121" s="164" t="s">
        <v>45</v>
      </c>
      <c r="L121"/>
    </row>
    <row r="122" spans="1:12" s="158" customFormat="1">
      <c r="A122" s="214">
        <v>121</v>
      </c>
      <c r="B122" s="168" t="s">
        <v>303</v>
      </c>
      <c r="C122" s="157" t="s">
        <v>308</v>
      </c>
      <c r="D122" s="170">
        <v>46266.604166666664</v>
      </c>
      <c r="E122" s="170">
        <v>46266.916666666664</v>
      </c>
      <c r="F122" s="10" t="str">
        <f t="shared" si="3"/>
        <v>7.5</v>
      </c>
      <c r="G122" s="208">
        <v>136201</v>
      </c>
      <c r="H122" s="205">
        <v>5686</v>
      </c>
      <c r="I122" s="166" t="s">
        <v>254</v>
      </c>
      <c r="J122" s="166" t="s">
        <v>254</v>
      </c>
      <c r="K122" s="167" t="s">
        <v>57</v>
      </c>
      <c r="L122"/>
    </row>
    <row r="123" spans="1:12" s="158" customFormat="1">
      <c r="A123" s="214">
        <v>122</v>
      </c>
      <c r="B123" s="168" t="s">
        <v>303</v>
      </c>
      <c r="C123" s="169" t="s">
        <v>325</v>
      </c>
      <c r="D123" s="162">
        <v>46269.333333333336</v>
      </c>
      <c r="E123" s="162">
        <v>46269.666666666664</v>
      </c>
      <c r="F123" s="10" t="str">
        <f t="shared" si="3"/>
        <v>8.0</v>
      </c>
      <c r="G123" s="210">
        <v>102784</v>
      </c>
      <c r="H123" s="208">
        <v>3470</v>
      </c>
      <c r="I123" s="163" t="s">
        <v>45</v>
      </c>
      <c r="J123" s="163" t="s">
        <v>45</v>
      </c>
      <c r="K123" s="164" t="s">
        <v>89</v>
      </c>
      <c r="L123"/>
    </row>
    <row r="124" spans="1:12" s="158" customFormat="1">
      <c r="A124" s="214">
        <v>123</v>
      </c>
      <c r="B124" s="37" t="s">
        <v>319</v>
      </c>
      <c r="C124" s="172" t="s">
        <v>296</v>
      </c>
      <c r="D124" s="170">
        <v>46270.604166666664</v>
      </c>
      <c r="E124" s="170">
        <v>46270.916666666664</v>
      </c>
      <c r="F124" s="10" t="str">
        <f t="shared" si="3"/>
        <v>7.5</v>
      </c>
      <c r="G124" s="208">
        <v>171598</v>
      </c>
      <c r="H124" s="205">
        <v>5686</v>
      </c>
      <c r="I124" s="166" t="s">
        <v>254</v>
      </c>
      <c r="J124" s="166" t="s">
        <v>254</v>
      </c>
      <c r="K124" s="167" t="s">
        <v>57</v>
      </c>
      <c r="L124"/>
    </row>
    <row r="125" spans="1:12" s="158" customFormat="1">
      <c r="A125" s="214">
        <v>124</v>
      </c>
      <c r="B125" s="37" t="s">
        <v>303</v>
      </c>
      <c r="C125" s="157" t="s">
        <v>298</v>
      </c>
      <c r="D125" s="162">
        <v>46271.583333333336</v>
      </c>
      <c r="E125" s="162">
        <v>46271.958333333336</v>
      </c>
      <c r="F125" s="10" t="str">
        <f t="shared" si="3"/>
        <v>9.0</v>
      </c>
      <c r="G125" s="208">
        <v>114261</v>
      </c>
      <c r="H125" s="208">
        <v>3617</v>
      </c>
      <c r="I125" s="163" t="s">
        <v>57</v>
      </c>
      <c r="J125" s="166" t="s">
        <v>254</v>
      </c>
      <c r="K125" s="167" t="s">
        <v>256</v>
      </c>
      <c r="L125"/>
    </row>
    <row r="126" spans="1:12" s="158" customFormat="1">
      <c r="A126" s="214">
        <v>125</v>
      </c>
      <c r="B126" s="37" t="s">
        <v>319</v>
      </c>
      <c r="C126" s="169" t="s">
        <v>75</v>
      </c>
      <c r="D126" s="162">
        <v>46272.333333333336</v>
      </c>
      <c r="E126" s="162">
        <v>46272.958333333336</v>
      </c>
      <c r="F126" s="10" t="str">
        <f t="shared" si="3"/>
        <v>15.0</v>
      </c>
      <c r="G126" s="210">
        <v>136201</v>
      </c>
      <c r="H126" s="208">
        <v>5246</v>
      </c>
      <c r="I126" s="163" t="s">
        <v>60</v>
      </c>
      <c r="J126" s="163" t="s">
        <v>60</v>
      </c>
      <c r="K126" s="164" t="s">
        <v>60</v>
      </c>
      <c r="L126" s="201"/>
    </row>
    <row r="127" spans="1:12" s="158" customFormat="1">
      <c r="A127" s="214">
        <v>126</v>
      </c>
      <c r="B127" s="37" t="s">
        <v>303</v>
      </c>
      <c r="C127" s="169" t="s">
        <v>272</v>
      </c>
      <c r="D127" s="170">
        <v>46273.583333333336</v>
      </c>
      <c r="E127" s="170">
        <v>46273.916666666664</v>
      </c>
      <c r="F127" s="10" t="str">
        <f t="shared" si="3"/>
        <v>8.0</v>
      </c>
      <c r="G127" s="208">
        <v>77499</v>
      </c>
      <c r="H127" s="205">
        <v>2270</v>
      </c>
      <c r="I127" s="166" t="s">
        <v>254</v>
      </c>
      <c r="J127" s="166" t="s">
        <v>254</v>
      </c>
      <c r="K127" s="164" t="s">
        <v>256</v>
      </c>
      <c r="L127"/>
    </row>
    <row r="128" spans="1:12" s="158" customFormat="1">
      <c r="A128" s="214">
        <v>127</v>
      </c>
      <c r="B128" s="37" t="s">
        <v>303</v>
      </c>
      <c r="C128" s="169" t="s">
        <v>296</v>
      </c>
      <c r="D128" s="162">
        <v>46274.604166666664</v>
      </c>
      <c r="E128" s="162">
        <v>46274.916666666664</v>
      </c>
      <c r="F128" s="10" t="str">
        <f t="shared" si="3"/>
        <v>7.5</v>
      </c>
      <c r="G128" s="208">
        <v>171598</v>
      </c>
      <c r="H128" s="208">
        <v>5686</v>
      </c>
      <c r="I128" s="163" t="s">
        <v>254</v>
      </c>
      <c r="J128" s="163" t="s">
        <v>254</v>
      </c>
      <c r="K128" s="164" t="s">
        <v>256</v>
      </c>
      <c r="L128"/>
    </row>
    <row r="129" spans="1:12" s="158" customFormat="1">
      <c r="A129" s="214">
        <v>128</v>
      </c>
      <c r="B129" s="37" t="s">
        <v>320</v>
      </c>
      <c r="C129" s="169" t="s">
        <v>297</v>
      </c>
      <c r="D129" s="162">
        <v>46274.291666666664</v>
      </c>
      <c r="E129" s="162">
        <v>46274.75</v>
      </c>
      <c r="F129" s="10" t="str">
        <f t="shared" si="3"/>
        <v>11.0</v>
      </c>
      <c r="G129" s="210">
        <v>169379</v>
      </c>
      <c r="H129" s="208">
        <v>5622</v>
      </c>
      <c r="I129" s="163" t="s">
        <v>254</v>
      </c>
      <c r="J129" s="163" t="s">
        <v>36</v>
      </c>
      <c r="K129" s="164" t="s">
        <v>224</v>
      </c>
      <c r="L129"/>
    </row>
    <row r="130" spans="1:12" s="158" customFormat="1">
      <c r="A130" s="214">
        <v>129</v>
      </c>
      <c r="B130" s="37" t="s">
        <v>303</v>
      </c>
      <c r="C130" s="172" t="s">
        <v>296</v>
      </c>
      <c r="D130" s="170">
        <v>46278.604166666664</v>
      </c>
      <c r="E130" s="170">
        <v>46278.916666666664</v>
      </c>
      <c r="F130" s="10" t="str">
        <f t="shared" si="3"/>
        <v>7.5</v>
      </c>
      <c r="G130" s="208">
        <v>171598</v>
      </c>
      <c r="H130" s="205">
        <v>5686</v>
      </c>
      <c r="I130" s="166" t="s">
        <v>254</v>
      </c>
      <c r="J130" s="166" t="s">
        <v>254</v>
      </c>
      <c r="K130" s="167" t="s">
        <v>256</v>
      </c>
      <c r="L130"/>
    </row>
    <row r="131" spans="1:12" s="158" customFormat="1">
      <c r="A131" s="214">
        <v>130</v>
      </c>
      <c r="B131" s="37" t="s">
        <v>303</v>
      </c>
      <c r="C131" s="169" t="s">
        <v>325</v>
      </c>
      <c r="D131" s="162">
        <v>46279.333333333336</v>
      </c>
      <c r="E131" s="162">
        <v>46279.666666666664</v>
      </c>
      <c r="F131" s="10" t="str">
        <f t="shared" si="3"/>
        <v>8.0</v>
      </c>
      <c r="G131" s="210">
        <v>102784</v>
      </c>
      <c r="H131" s="208">
        <v>3470</v>
      </c>
      <c r="I131" s="163" t="s">
        <v>45</v>
      </c>
      <c r="J131" s="163" t="s">
        <v>45</v>
      </c>
      <c r="K131" s="164" t="s">
        <v>89</v>
      </c>
      <c r="L131" s="201"/>
    </row>
    <row r="132" spans="1:12" s="158" customFormat="1">
      <c r="A132" s="214">
        <v>131</v>
      </c>
      <c r="B132" s="37" t="s">
        <v>303</v>
      </c>
      <c r="C132" s="172" t="s">
        <v>296</v>
      </c>
      <c r="D132" s="170">
        <v>46282.604166666664</v>
      </c>
      <c r="E132" s="170">
        <v>46282.916666666664</v>
      </c>
      <c r="F132" s="10" t="str">
        <f t="shared" si="3"/>
        <v>7.5</v>
      </c>
      <c r="G132" s="208">
        <v>171598</v>
      </c>
      <c r="H132" s="205">
        <v>5686</v>
      </c>
      <c r="I132" s="166" t="s">
        <v>254</v>
      </c>
      <c r="J132" s="166" t="s">
        <v>254</v>
      </c>
      <c r="K132" s="167" t="s">
        <v>256</v>
      </c>
      <c r="L132"/>
    </row>
    <row r="133" spans="1:12" s="158" customFormat="1">
      <c r="A133" s="214">
        <v>132</v>
      </c>
      <c r="B133" s="37" t="s">
        <v>303</v>
      </c>
      <c r="C133" s="169" t="s">
        <v>325</v>
      </c>
      <c r="D133" s="162">
        <v>46284.333333333336</v>
      </c>
      <c r="E133" s="162">
        <v>46284.666666666664</v>
      </c>
      <c r="F133" s="10" t="str">
        <f t="shared" si="3"/>
        <v>8.0</v>
      </c>
      <c r="G133" s="210">
        <v>102784</v>
      </c>
      <c r="H133" s="208">
        <v>3470</v>
      </c>
      <c r="I133" s="163" t="s">
        <v>45</v>
      </c>
      <c r="J133" s="163" t="s">
        <v>45</v>
      </c>
      <c r="K133" s="164" t="s">
        <v>89</v>
      </c>
      <c r="L133"/>
    </row>
    <row r="134" spans="1:12" s="158" customFormat="1">
      <c r="A134" s="214">
        <v>133</v>
      </c>
      <c r="B134" s="37" t="s">
        <v>252</v>
      </c>
      <c r="C134" s="169" t="s">
        <v>75</v>
      </c>
      <c r="D134" s="162">
        <v>46284.25</v>
      </c>
      <c r="E134" s="162">
        <v>46284.708333333336</v>
      </c>
      <c r="F134" s="10" t="str">
        <f t="shared" ref="F134" si="4">TEXT((VALUE(E134)-VALUE(D134))*24,"0.0")</f>
        <v>11.0</v>
      </c>
      <c r="G134" s="210">
        <v>136201</v>
      </c>
      <c r="H134" s="208">
        <v>5246</v>
      </c>
      <c r="I134" s="163" t="s">
        <v>60</v>
      </c>
      <c r="J134" s="163" t="s">
        <v>60</v>
      </c>
      <c r="K134" s="164" t="s">
        <v>224</v>
      </c>
      <c r="L134"/>
    </row>
    <row r="135" spans="1:12" s="158" customFormat="1">
      <c r="A135" s="214">
        <v>134</v>
      </c>
      <c r="B135" s="217" t="s">
        <v>303</v>
      </c>
      <c r="C135" s="157" t="s">
        <v>297</v>
      </c>
      <c r="D135" s="162">
        <v>46286.291666666664</v>
      </c>
      <c r="E135" s="162">
        <v>46286.708333333336</v>
      </c>
      <c r="F135" s="10" t="str">
        <f t="shared" si="3"/>
        <v>10.0</v>
      </c>
      <c r="G135" s="208">
        <v>169379</v>
      </c>
      <c r="H135" s="208">
        <v>5622</v>
      </c>
      <c r="I135" s="163" t="s">
        <v>254</v>
      </c>
      <c r="J135" s="163" t="s">
        <v>254</v>
      </c>
      <c r="K135" s="164" t="s">
        <v>254</v>
      </c>
      <c r="L135" s="201"/>
    </row>
    <row r="136" spans="1:12" s="158" customFormat="1">
      <c r="A136" s="214">
        <v>135</v>
      </c>
      <c r="B136" s="37" t="s">
        <v>252</v>
      </c>
      <c r="C136" s="172" t="s">
        <v>296</v>
      </c>
      <c r="D136" s="170">
        <v>46286.604166666664</v>
      </c>
      <c r="E136" s="170">
        <v>46286.916666666664</v>
      </c>
      <c r="F136" s="10" t="str">
        <f t="shared" si="3"/>
        <v>7.5</v>
      </c>
      <c r="G136" s="208">
        <v>171598</v>
      </c>
      <c r="H136" s="205">
        <v>5686</v>
      </c>
      <c r="I136" s="166" t="s">
        <v>254</v>
      </c>
      <c r="J136" s="166" t="s">
        <v>254</v>
      </c>
      <c r="K136" s="216" t="s">
        <v>29</v>
      </c>
      <c r="L136" s="201"/>
    </row>
    <row r="137" spans="1:12" s="158" customFormat="1">
      <c r="A137" s="214">
        <v>136</v>
      </c>
      <c r="B137" s="217" t="s">
        <v>303</v>
      </c>
      <c r="C137" s="169" t="s">
        <v>75</v>
      </c>
      <c r="D137" s="162">
        <v>46288.291666666664</v>
      </c>
      <c r="E137" s="162">
        <v>46288.666666666664</v>
      </c>
      <c r="F137" s="10" t="str">
        <f t="shared" si="3"/>
        <v>9.0</v>
      </c>
      <c r="G137" s="210">
        <v>136201</v>
      </c>
      <c r="H137" s="208">
        <v>5246</v>
      </c>
      <c r="I137" s="163" t="s">
        <v>224</v>
      </c>
      <c r="J137" s="163" t="s">
        <v>57</v>
      </c>
      <c r="K137" s="164" t="s">
        <v>224</v>
      </c>
      <c r="L137" s="201"/>
    </row>
    <row r="138" spans="1:12" s="158" customFormat="1">
      <c r="A138" s="214">
        <v>137</v>
      </c>
      <c r="B138" s="37" t="s">
        <v>319</v>
      </c>
      <c r="C138" s="169" t="s">
        <v>325</v>
      </c>
      <c r="D138" s="162">
        <v>46289.333333333336</v>
      </c>
      <c r="E138" s="162">
        <v>46289.666666666664</v>
      </c>
      <c r="F138" s="10" t="str">
        <f t="shared" si="3"/>
        <v>8.0</v>
      </c>
      <c r="G138" s="210">
        <v>102784</v>
      </c>
      <c r="H138" s="208">
        <v>3470</v>
      </c>
      <c r="I138" s="163" t="s">
        <v>45</v>
      </c>
      <c r="J138" s="163" t="s">
        <v>45</v>
      </c>
      <c r="K138" s="164" t="s">
        <v>89</v>
      </c>
      <c r="L138"/>
    </row>
    <row r="139" spans="1:12" s="158" customFormat="1">
      <c r="A139" s="214">
        <v>138</v>
      </c>
      <c r="B139" s="37" t="s">
        <v>319</v>
      </c>
      <c r="C139" s="169" t="s">
        <v>75</v>
      </c>
      <c r="D139" s="162">
        <v>46292.291666666664</v>
      </c>
      <c r="E139" s="162">
        <v>46292.666666666664</v>
      </c>
      <c r="F139" s="10" t="str">
        <f t="shared" si="3"/>
        <v>9.0</v>
      </c>
      <c r="G139" s="210">
        <v>136201</v>
      </c>
      <c r="H139" s="208">
        <v>5246</v>
      </c>
      <c r="I139" s="163" t="s">
        <v>224</v>
      </c>
      <c r="J139" s="163" t="s">
        <v>57</v>
      </c>
      <c r="K139" s="164" t="s">
        <v>224</v>
      </c>
      <c r="L139"/>
    </row>
    <row r="140" spans="1:12" s="158" customFormat="1">
      <c r="A140" s="214">
        <v>139</v>
      </c>
      <c r="B140" s="37" t="s">
        <v>319</v>
      </c>
      <c r="C140" s="169" t="s">
        <v>272</v>
      </c>
      <c r="D140" s="170">
        <v>46293.625</v>
      </c>
      <c r="E140" s="170">
        <v>46293.916666666664</v>
      </c>
      <c r="F140" s="10" t="str">
        <f t="shared" si="3"/>
        <v>7.0</v>
      </c>
      <c r="G140" s="208">
        <v>77499</v>
      </c>
      <c r="H140" s="205">
        <v>2270</v>
      </c>
      <c r="I140" s="166" t="s">
        <v>254</v>
      </c>
      <c r="J140" s="166" t="s">
        <v>254</v>
      </c>
      <c r="K140" s="164" t="s">
        <v>256</v>
      </c>
      <c r="L140"/>
    </row>
    <row r="141" spans="1:12" s="158" customFormat="1">
      <c r="A141" s="214">
        <v>140</v>
      </c>
      <c r="B141" s="4" t="s">
        <v>303</v>
      </c>
      <c r="C141" s="157" t="s">
        <v>297</v>
      </c>
      <c r="D141" s="162">
        <v>46294.291666666664</v>
      </c>
      <c r="E141" s="162">
        <v>46294.708333333336</v>
      </c>
      <c r="F141" s="10" t="str">
        <f t="shared" si="3"/>
        <v>10.0</v>
      </c>
      <c r="G141" s="208">
        <v>169379</v>
      </c>
      <c r="H141" s="205">
        <v>5622</v>
      </c>
      <c r="I141" s="1" t="s">
        <v>254</v>
      </c>
      <c r="J141" s="1" t="s">
        <v>254</v>
      </c>
      <c r="K141" s="167" t="s">
        <v>254</v>
      </c>
      <c r="L141"/>
    </row>
    <row r="142" spans="1:12" s="158" customFormat="1">
      <c r="A142" s="214">
        <v>141</v>
      </c>
      <c r="B142" s="4" t="s">
        <v>303</v>
      </c>
      <c r="C142" s="169" t="s">
        <v>75</v>
      </c>
      <c r="D142" s="162">
        <v>46295.291666666664</v>
      </c>
      <c r="E142" s="162">
        <v>46295.666666666664</v>
      </c>
      <c r="F142" s="10" t="str">
        <f t="shared" si="3"/>
        <v>9.0</v>
      </c>
      <c r="G142" s="210">
        <v>136201</v>
      </c>
      <c r="H142" s="208">
        <v>5246</v>
      </c>
      <c r="I142" s="163" t="s">
        <v>254</v>
      </c>
      <c r="J142" s="163" t="s">
        <v>224</v>
      </c>
      <c r="K142" s="164" t="s">
        <v>224</v>
      </c>
      <c r="L142"/>
    </row>
    <row r="143" spans="1:12" s="158" customFormat="1">
      <c r="A143" s="214">
        <v>142</v>
      </c>
      <c r="B143" s="37" t="s">
        <v>303</v>
      </c>
      <c r="C143" s="172" t="s">
        <v>296</v>
      </c>
      <c r="D143" s="170">
        <v>46296.583333333336</v>
      </c>
      <c r="E143" s="170">
        <v>46296.875</v>
      </c>
      <c r="F143" s="10" t="str">
        <f t="shared" si="3"/>
        <v>7.0</v>
      </c>
      <c r="G143" s="208">
        <v>171598</v>
      </c>
      <c r="H143" s="205">
        <v>5686</v>
      </c>
      <c r="I143" s="166" t="s">
        <v>224</v>
      </c>
      <c r="J143" s="166" t="s">
        <v>254</v>
      </c>
      <c r="K143" s="167" t="s">
        <v>256</v>
      </c>
      <c r="L143"/>
    </row>
    <row r="144" spans="1:12" s="158" customFormat="1">
      <c r="A144" s="214">
        <v>143</v>
      </c>
      <c r="B144" s="37" t="s">
        <v>303</v>
      </c>
      <c r="C144" s="169" t="s">
        <v>325</v>
      </c>
      <c r="D144" s="162">
        <v>46298.333333333336</v>
      </c>
      <c r="E144" s="162">
        <v>46298.666666666664</v>
      </c>
      <c r="F144" s="10" t="str">
        <f t="shared" si="3"/>
        <v>8.0</v>
      </c>
      <c r="G144" s="210">
        <v>102784</v>
      </c>
      <c r="H144" s="208">
        <v>3470</v>
      </c>
      <c r="I144" s="163" t="s">
        <v>45</v>
      </c>
      <c r="J144" s="163" t="s">
        <v>45</v>
      </c>
      <c r="K144" s="164" t="s">
        <v>89</v>
      </c>
      <c r="L144"/>
    </row>
    <row r="145" spans="1:12" s="158" customFormat="1">
      <c r="A145" s="214">
        <v>144</v>
      </c>
      <c r="B145" s="37" t="s">
        <v>252</v>
      </c>
      <c r="C145" s="169" t="s">
        <v>225</v>
      </c>
      <c r="D145" s="162">
        <v>46298.416666666664</v>
      </c>
      <c r="E145" s="162">
        <v>46298.791666666664</v>
      </c>
      <c r="F145" s="10" t="str">
        <f t="shared" si="3"/>
        <v>9.0</v>
      </c>
      <c r="G145" s="210">
        <v>136201</v>
      </c>
      <c r="H145" s="208">
        <v>5246</v>
      </c>
      <c r="I145" s="163" t="s">
        <v>254</v>
      </c>
      <c r="J145" s="163" t="s">
        <v>254</v>
      </c>
      <c r="K145" s="164" t="s">
        <v>57</v>
      </c>
      <c r="L145"/>
    </row>
    <row r="146" spans="1:12" s="158" customFormat="1">
      <c r="A146" s="214">
        <v>145</v>
      </c>
      <c r="B146" s="37" t="s">
        <v>303</v>
      </c>
      <c r="C146" s="172" t="s">
        <v>297</v>
      </c>
      <c r="D146" s="170">
        <v>46300.291666666664</v>
      </c>
      <c r="E146" s="170">
        <v>46300.75</v>
      </c>
      <c r="F146" s="10" t="str">
        <f t="shared" si="3"/>
        <v>11.0</v>
      </c>
      <c r="G146" s="208">
        <v>169379</v>
      </c>
      <c r="H146" s="205">
        <v>5622</v>
      </c>
      <c r="I146" s="166" t="s">
        <v>224</v>
      </c>
      <c r="J146" s="166" t="s">
        <v>36</v>
      </c>
      <c r="K146" s="167" t="s">
        <v>224</v>
      </c>
      <c r="L146"/>
    </row>
    <row r="147" spans="1:12" s="158" customFormat="1">
      <c r="A147" s="214">
        <v>146</v>
      </c>
      <c r="B147" s="4" t="s">
        <v>319</v>
      </c>
      <c r="C147" s="169" t="s">
        <v>325</v>
      </c>
      <c r="D147" s="162">
        <v>46303.333333333336</v>
      </c>
      <c r="E147" s="162">
        <v>46303.666666666664</v>
      </c>
      <c r="F147" s="10" t="str">
        <f t="shared" si="3"/>
        <v>8.0</v>
      </c>
      <c r="G147" s="210">
        <v>102784</v>
      </c>
      <c r="H147" s="208">
        <v>3470</v>
      </c>
      <c r="I147" s="163" t="s">
        <v>45</v>
      </c>
      <c r="J147" s="163" t="s">
        <v>45</v>
      </c>
      <c r="K147" s="164" t="s">
        <v>89</v>
      </c>
      <c r="L147"/>
    </row>
    <row r="148" spans="1:12" s="158" customFormat="1">
      <c r="A148" s="214">
        <v>147</v>
      </c>
      <c r="B148" s="4" t="s">
        <v>320</v>
      </c>
      <c r="C148" s="169" t="s">
        <v>225</v>
      </c>
      <c r="D148" s="162">
        <v>46303.541666666664</v>
      </c>
      <c r="E148" s="162">
        <v>46303.875</v>
      </c>
      <c r="F148" s="10" t="str">
        <f t="shared" si="3"/>
        <v>8.0</v>
      </c>
      <c r="G148" s="210">
        <v>136201</v>
      </c>
      <c r="H148" s="208">
        <v>5246</v>
      </c>
      <c r="I148" s="163" t="s">
        <v>254</v>
      </c>
      <c r="J148" s="163" t="s">
        <v>224</v>
      </c>
      <c r="K148" s="164" t="s">
        <v>57</v>
      </c>
      <c r="L148"/>
    </row>
    <row r="149" spans="1:12" s="158" customFormat="1">
      <c r="A149" s="214">
        <v>148</v>
      </c>
      <c r="B149" s="4" t="s">
        <v>319</v>
      </c>
      <c r="C149" s="172" t="s">
        <v>283</v>
      </c>
      <c r="D149" s="170">
        <v>46305.333333333336</v>
      </c>
      <c r="E149" s="170">
        <v>46305.625</v>
      </c>
      <c r="F149" s="10" t="str">
        <f t="shared" si="3"/>
        <v>7.0</v>
      </c>
      <c r="G149" s="208">
        <v>85619</v>
      </c>
      <c r="H149" s="205">
        <v>2680</v>
      </c>
      <c r="I149" s="163" t="s">
        <v>45</v>
      </c>
      <c r="J149" s="163" t="s">
        <v>13</v>
      </c>
      <c r="K149" s="164" t="s">
        <v>271</v>
      </c>
      <c r="L149"/>
    </row>
    <row r="150" spans="1:12" s="158" customFormat="1">
      <c r="A150" s="214">
        <v>149</v>
      </c>
      <c r="B150" s="37" t="s">
        <v>303</v>
      </c>
      <c r="C150" s="172" t="s">
        <v>225</v>
      </c>
      <c r="D150" s="170">
        <v>46307.541666666664</v>
      </c>
      <c r="E150" s="170">
        <v>46307.875</v>
      </c>
      <c r="F150" s="10" t="str">
        <f t="shared" si="3"/>
        <v>8.0</v>
      </c>
      <c r="G150" s="208">
        <v>136201</v>
      </c>
      <c r="H150" s="205">
        <v>5246</v>
      </c>
      <c r="I150" s="166" t="s">
        <v>254</v>
      </c>
      <c r="J150" s="166" t="s">
        <v>254</v>
      </c>
      <c r="K150" s="164" t="s">
        <v>57</v>
      </c>
      <c r="L150"/>
    </row>
    <row r="151" spans="1:12" s="158" customFormat="1">
      <c r="A151" s="214">
        <v>150</v>
      </c>
      <c r="B151" s="37" t="s">
        <v>303</v>
      </c>
      <c r="C151" s="172" t="s">
        <v>296</v>
      </c>
      <c r="D151" s="170">
        <v>46308.291666666664</v>
      </c>
      <c r="E151" s="170">
        <v>46308.708333333336</v>
      </c>
      <c r="F151" s="10" t="str">
        <f t="shared" si="3"/>
        <v>10.0</v>
      </c>
      <c r="G151" s="208">
        <v>171598</v>
      </c>
      <c r="H151" s="205">
        <v>5686</v>
      </c>
      <c r="I151" s="166" t="s">
        <v>261</v>
      </c>
      <c r="J151" s="166" t="s">
        <v>262</v>
      </c>
      <c r="K151" s="164" t="s">
        <v>172</v>
      </c>
      <c r="L151"/>
    </row>
    <row r="152" spans="1:12" s="158" customFormat="1" ht="15" customHeight="1">
      <c r="A152" s="214">
        <v>151</v>
      </c>
      <c r="B152" s="4" t="s">
        <v>303</v>
      </c>
      <c r="C152" s="157" t="s">
        <v>301</v>
      </c>
      <c r="D152" s="162">
        <v>46309.333333333336</v>
      </c>
      <c r="E152" s="162">
        <v>46309.708333333336</v>
      </c>
      <c r="F152" s="10" t="str">
        <f t="shared" si="3"/>
        <v>9.0</v>
      </c>
      <c r="G152" s="208">
        <v>92720</v>
      </c>
      <c r="H152" s="205">
        <v>2712</v>
      </c>
      <c r="I152" s="1" t="s">
        <v>77</v>
      </c>
      <c r="J152" s="1" t="s">
        <v>256</v>
      </c>
      <c r="K152" s="167" t="s">
        <v>257</v>
      </c>
      <c r="L152"/>
    </row>
    <row r="153" spans="1:12" s="158" customFormat="1" ht="15" customHeight="1">
      <c r="A153" s="214">
        <v>152</v>
      </c>
      <c r="B153" s="4" t="s">
        <v>252</v>
      </c>
      <c r="C153" s="169" t="s">
        <v>325</v>
      </c>
      <c r="D153" s="162">
        <v>46309.541666666664</v>
      </c>
      <c r="E153" s="162">
        <v>46309.875</v>
      </c>
      <c r="F153" s="10" t="str">
        <f t="shared" si="3"/>
        <v>8.0</v>
      </c>
      <c r="G153" s="208">
        <v>102784</v>
      </c>
      <c r="H153" s="208">
        <v>3470</v>
      </c>
      <c r="I153" s="163" t="s">
        <v>45</v>
      </c>
      <c r="J153" s="163" t="s">
        <v>89</v>
      </c>
      <c r="K153" s="164" t="s">
        <v>45</v>
      </c>
      <c r="L153"/>
    </row>
    <row r="154" spans="1:12" s="158" customFormat="1">
      <c r="A154" s="214">
        <v>153</v>
      </c>
      <c r="B154" s="4" t="s">
        <v>303</v>
      </c>
      <c r="C154" s="157" t="s">
        <v>225</v>
      </c>
      <c r="D154" s="162">
        <v>46311.541666666664</v>
      </c>
      <c r="E154" s="162">
        <v>46311.875</v>
      </c>
      <c r="F154" s="10" t="str">
        <f t="shared" si="3"/>
        <v>8.0</v>
      </c>
      <c r="G154" s="208">
        <v>136201</v>
      </c>
      <c r="H154" s="205">
        <v>5246</v>
      </c>
      <c r="I154" s="1" t="s">
        <v>254</v>
      </c>
      <c r="J154" s="1" t="s">
        <v>254</v>
      </c>
      <c r="K154" s="164" t="s">
        <v>57</v>
      </c>
      <c r="L154"/>
    </row>
    <row r="155" spans="1:12" s="158" customFormat="1">
      <c r="A155" s="214">
        <v>154</v>
      </c>
      <c r="B155" s="4" t="s">
        <v>303</v>
      </c>
      <c r="C155" s="169" t="s">
        <v>325</v>
      </c>
      <c r="D155" s="162">
        <v>46313.333333333336</v>
      </c>
      <c r="E155" s="162">
        <v>46313.666666666664</v>
      </c>
      <c r="F155" s="10" t="str">
        <f t="shared" si="3"/>
        <v>8.0</v>
      </c>
      <c r="G155" s="210">
        <v>102784</v>
      </c>
      <c r="H155" s="208">
        <v>3470</v>
      </c>
      <c r="I155" s="163" t="s">
        <v>45</v>
      </c>
      <c r="J155" s="163" t="s">
        <v>45</v>
      </c>
      <c r="K155" s="164" t="s">
        <v>89</v>
      </c>
      <c r="L155"/>
    </row>
    <row r="156" spans="1:12" s="158" customFormat="1">
      <c r="A156" s="214">
        <v>155</v>
      </c>
      <c r="B156" s="4" t="s">
        <v>252</v>
      </c>
      <c r="C156" s="169" t="s">
        <v>272</v>
      </c>
      <c r="D156" s="170">
        <v>46313.583333333336</v>
      </c>
      <c r="E156" s="170">
        <v>46313.916666666664</v>
      </c>
      <c r="F156" s="10" t="str">
        <f t="shared" si="3"/>
        <v>8.0</v>
      </c>
      <c r="G156" s="208">
        <v>77499</v>
      </c>
      <c r="H156" s="205">
        <v>2270</v>
      </c>
      <c r="I156" s="166" t="s">
        <v>254</v>
      </c>
      <c r="J156" s="166" t="s">
        <v>254</v>
      </c>
      <c r="K156" s="164" t="s">
        <v>256</v>
      </c>
      <c r="L156"/>
    </row>
    <row r="157" spans="1:12" s="158" customFormat="1">
      <c r="A157" s="214">
        <v>156</v>
      </c>
      <c r="B157" s="4" t="s">
        <v>303</v>
      </c>
      <c r="C157" s="157" t="s">
        <v>225</v>
      </c>
      <c r="D157" s="162">
        <v>46315.541666666664</v>
      </c>
      <c r="E157" s="162">
        <v>46315.875</v>
      </c>
      <c r="F157" s="10" t="str">
        <f t="shared" si="3"/>
        <v>8.0</v>
      </c>
      <c r="G157" s="208">
        <v>136201</v>
      </c>
      <c r="H157" s="205">
        <v>5246</v>
      </c>
      <c r="I157" s="1" t="s">
        <v>254</v>
      </c>
      <c r="J157" s="1" t="s">
        <v>254</v>
      </c>
      <c r="K157" s="164" t="s">
        <v>57</v>
      </c>
      <c r="L157"/>
    </row>
    <row r="158" spans="1:12" s="158" customFormat="1">
      <c r="A158" s="214">
        <v>157</v>
      </c>
      <c r="B158" s="37" t="s">
        <v>303</v>
      </c>
      <c r="C158" s="172" t="s">
        <v>302</v>
      </c>
      <c r="D158" s="170">
        <v>46316.291666666664</v>
      </c>
      <c r="E158" s="170">
        <v>46316.791666666664</v>
      </c>
      <c r="F158" s="10" t="str">
        <f t="shared" si="3"/>
        <v>12.0</v>
      </c>
      <c r="G158" s="208">
        <v>139570</v>
      </c>
      <c r="H158" s="205">
        <v>4018</v>
      </c>
      <c r="I158" s="166" t="s">
        <v>257</v>
      </c>
      <c r="J158" s="166" t="s">
        <v>257</v>
      </c>
      <c r="K158" s="167" t="s">
        <v>77</v>
      </c>
      <c r="L158"/>
    </row>
    <row r="159" spans="1:12" s="158" customFormat="1">
      <c r="A159" s="214">
        <v>158</v>
      </c>
      <c r="B159" s="4" t="s">
        <v>303</v>
      </c>
      <c r="C159" s="157" t="s">
        <v>296</v>
      </c>
      <c r="D159" s="162">
        <v>46317.291666666664</v>
      </c>
      <c r="E159" s="162">
        <v>46317.708333333336</v>
      </c>
      <c r="F159" s="10" t="str">
        <f t="shared" si="3"/>
        <v>10.0</v>
      </c>
      <c r="G159" s="208">
        <v>171598</v>
      </c>
      <c r="H159" s="205">
        <v>5686</v>
      </c>
      <c r="I159" s="1" t="s">
        <v>262</v>
      </c>
      <c r="J159" s="1" t="s">
        <v>262</v>
      </c>
      <c r="K159" s="164" t="s">
        <v>172</v>
      </c>
      <c r="L159"/>
    </row>
    <row r="160" spans="1:12" s="158" customFormat="1">
      <c r="A160" s="214">
        <v>159</v>
      </c>
      <c r="B160" s="4" t="s">
        <v>303</v>
      </c>
      <c r="C160" s="169" t="s">
        <v>283</v>
      </c>
      <c r="D160" s="162">
        <v>46318.291666666664</v>
      </c>
      <c r="E160" s="162">
        <v>46318.666666666664</v>
      </c>
      <c r="F160" s="10" t="str">
        <f t="shared" si="3"/>
        <v>9.0</v>
      </c>
      <c r="G160" s="210">
        <v>85619</v>
      </c>
      <c r="H160" s="208">
        <v>2680</v>
      </c>
      <c r="I160" s="163" t="s">
        <v>163</v>
      </c>
      <c r="J160" s="166" t="s">
        <v>203</v>
      </c>
      <c r="K160" s="164" t="s">
        <v>163</v>
      </c>
      <c r="L160"/>
    </row>
    <row r="161" spans="1:12" s="158" customFormat="1">
      <c r="A161" s="214">
        <v>160</v>
      </c>
      <c r="B161" s="4" t="s">
        <v>303</v>
      </c>
      <c r="C161" s="157" t="s">
        <v>225</v>
      </c>
      <c r="D161" s="162">
        <v>46319.541666666664</v>
      </c>
      <c r="E161" s="162">
        <v>46319.875</v>
      </c>
      <c r="F161" s="10" t="str">
        <f t="shared" si="3"/>
        <v>8.0</v>
      </c>
      <c r="G161" s="208">
        <v>136201</v>
      </c>
      <c r="H161" s="205">
        <v>5246</v>
      </c>
      <c r="I161" s="1" t="s">
        <v>254</v>
      </c>
      <c r="J161" s="1" t="s">
        <v>254</v>
      </c>
      <c r="K161" s="164" t="s">
        <v>57</v>
      </c>
      <c r="L161"/>
    </row>
    <row r="162" spans="1:12" s="158" customFormat="1">
      <c r="A162" s="214">
        <v>161</v>
      </c>
      <c r="B162" s="4" t="s">
        <v>252</v>
      </c>
      <c r="C162" s="169" t="s">
        <v>325</v>
      </c>
      <c r="D162" s="162">
        <v>46319.625</v>
      </c>
      <c r="E162" s="162">
        <v>46319.958333333336</v>
      </c>
      <c r="F162" s="10" t="str">
        <f t="shared" si="3"/>
        <v>8.0</v>
      </c>
      <c r="G162" s="210">
        <v>102784</v>
      </c>
      <c r="H162" s="208">
        <v>3470</v>
      </c>
      <c r="I162" s="163" t="s">
        <v>45</v>
      </c>
      <c r="J162" s="163" t="s">
        <v>89</v>
      </c>
      <c r="K162" s="164" t="s">
        <v>45</v>
      </c>
      <c r="L162"/>
    </row>
    <row r="163" spans="1:12" s="158" customFormat="1">
      <c r="A163" s="214">
        <v>162</v>
      </c>
      <c r="B163" s="4" t="s">
        <v>303</v>
      </c>
      <c r="C163" s="169" t="s">
        <v>272</v>
      </c>
      <c r="D163" s="170">
        <v>46321.583333333336</v>
      </c>
      <c r="E163" s="170">
        <v>46321.916666666664</v>
      </c>
      <c r="F163" s="10" t="str">
        <f t="shared" si="3"/>
        <v>8.0</v>
      </c>
      <c r="G163" s="208">
        <v>77499</v>
      </c>
      <c r="H163" s="205">
        <v>2270</v>
      </c>
      <c r="I163" s="166" t="s">
        <v>254</v>
      </c>
      <c r="J163" s="166" t="s">
        <v>254</v>
      </c>
      <c r="K163" s="164" t="s">
        <v>256</v>
      </c>
      <c r="L163"/>
    </row>
    <row r="164" spans="1:12" s="158" customFormat="1">
      <c r="A164" s="214">
        <v>163</v>
      </c>
      <c r="B164" s="37" t="s">
        <v>303</v>
      </c>
      <c r="C164" s="172" t="s">
        <v>283</v>
      </c>
      <c r="D164" s="170">
        <v>46322.291666666664</v>
      </c>
      <c r="E164" s="170">
        <v>46322.625</v>
      </c>
      <c r="F164" s="10" t="str">
        <f t="shared" si="3"/>
        <v>8.0</v>
      </c>
      <c r="G164" s="208">
        <v>85619</v>
      </c>
      <c r="H164" s="205">
        <v>2680</v>
      </c>
      <c r="I164" s="166" t="s">
        <v>163</v>
      </c>
      <c r="J164" s="166" t="s">
        <v>57</v>
      </c>
      <c r="K164" s="167" t="s">
        <v>284</v>
      </c>
      <c r="L164"/>
    </row>
    <row r="165" spans="1:12" s="158" customFormat="1">
      <c r="A165" s="214">
        <v>164</v>
      </c>
      <c r="B165" s="4" t="s">
        <v>303</v>
      </c>
      <c r="C165" s="172" t="s">
        <v>225</v>
      </c>
      <c r="D165" s="170">
        <v>46323.541666666664</v>
      </c>
      <c r="E165" s="170">
        <v>46323.875</v>
      </c>
      <c r="F165" s="10" t="str">
        <f t="shared" si="3"/>
        <v>8.0</v>
      </c>
      <c r="G165" s="208">
        <v>136201</v>
      </c>
      <c r="H165" s="205">
        <v>5246</v>
      </c>
      <c r="I165" s="166" t="s">
        <v>254</v>
      </c>
      <c r="J165" s="166" t="s">
        <v>254</v>
      </c>
      <c r="K165" s="164" t="s">
        <v>57</v>
      </c>
      <c r="L165"/>
    </row>
    <row r="166" spans="1:12" s="158" customFormat="1">
      <c r="A166" s="214">
        <v>165</v>
      </c>
      <c r="B166" s="4" t="s">
        <v>252</v>
      </c>
      <c r="C166" s="169" t="s">
        <v>325</v>
      </c>
      <c r="D166" s="162">
        <v>46323.333333333336</v>
      </c>
      <c r="E166" s="162">
        <v>46323.666666666664</v>
      </c>
      <c r="F166" s="10" t="str">
        <f t="shared" si="3"/>
        <v>8.0</v>
      </c>
      <c r="G166" s="210">
        <v>102784</v>
      </c>
      <c r="H166" s="208">
        <v>3470</v>
      </c>
      <c r="I166" s="163" t="s">
        <v>45</v>
      </c>
      <c r="J166" s="163" t="s">
        <v>45</v>
      </c>
      <c r="K166" s="164" t="s">
        <v>89</v>
      </c>
      <c r="L166"/>
    </row>
    <row r="167" spans="1:12" s="158" customFormat="1">
      <c r="A167" s="214">
        <v>166</v>
      </c>
      <c r="B167" s="4" t="s">
        <v>303</v>
      </c>
      <c r="C167" s="169" t="s">
        <v>272</v>
      </c>
      <c r="D167" s="170">
        <v>46325.583333333336</v>
      </c>
      <c r="E167" s="170">
        <v>46325.916666666664</v>
      </c>
      <c r="F167" s="10" t="str">
        <f t="shared" si="3"/>
        <v>8.0</v>
      </c>
      <c r="G167" s="208">
        <v>77499</v>
      </c>
      <c r="H167" s="205">
        <v>2270</v>
      </c>
      <c r="I167" s="166" t="s">
        <v>254</v>
      </c>
      <c r="J167" s="166" t="s">
        <v>254</v>
      </c>
      <c r="K167" s="164" t="s">
        <v>256</v>
      </c>
      <c r="L167"/>
    </row>
    <row r="168" spans="1:12" s="158" customFormat="1">
      <c r="A168" s="214">
        <v>167</v>
      </c>
      <c r="B168" s="37" t="s">
        <v>303</v>
      </c>
      <c r="C168" s="169" t="s">
        <v>308</v>
      </c>
      <c r="D168" s="162">
        <v>46326.291666666664</v>
      </c>
      <c r="E168" s="162">
        <v>46326.708333333336</v>
      </c>
      <c r="F168" s="10" t="str">
        <f t="shared" si="3"/>
        <v>10.0</v>
      </c>
      <c r="G168" s="208">
        <v>171598</v>
      </c>
      <c r="H168" s="208">
        <v>5686</v>
      </c>
      <c r="I168" s="163" t="s">
        <v>262</v>
      </c>
      <c r="J168" s="163" t="s">
        <v>262</v>
      </c>
      <c r="K168" s="164" t="s">
        <v>172</v>
      </c>
      <c r="L168"/>
    </row>
    <row r="169" spans="1:12" s="158" customFormat="1">
      <c r="A169" s="214">
        <v>168</v>
      </c>
      <c r="B169" s="37" t="s">
        <v>303</v>
      </c>
      <c r="C169" s="169" t="s">
        <v>225</v>
      </c>
      <c r="D169" s="170">
        <v>46327.541666666664</v>
      </c>
      <c r="E169" s="170">
        <v>46327.875</v>
      </c>
      <c r="F169" s="10" t="str">
        <f t="shared" si="3"/>
        <v>8.0</v>
      </c>
      <c r="G169" s="213">
        <v>136201</v>
      </c>
      <c r="H169" s="212">
        <v>5246</v>
      </c>
      <c r="I169" s="203" t="s">
        <v>254</v>
      </c>
      <c r="J169" s="203" t="s">
        <v>254</v>
      </c>
      <c r="K169" s="216" t="s">
        <v>57</v>
      </c>
      <c r="L169"/>
    </row>
    <row r="170" spans="1:12" s="158" customFormat="1">
      <c r="A170" s="214">
        <v>169</v>
      </c>
      <c r="B170" s="37" t="s">
        <v>303</v>
      </c>
      <c r="C170" s="172" t="s">
        <v>297</v>
      </c>
      <c r="D170" s="170">
        <v>46328.5</v>
      </c>
      <c r="E170" s="170">
        <v>46328.833333333336</v>
      </c>
      <c r="F170" s="10" t="str">
        <f t="shared" si="3"/>
        <v>8.0</v>
      </c>
      <c r="G170" s="208">
        <v>169379</v>
      </c>
      <c r="H170" s="205">
        <v>5622</v>
      </c>
      <c r="I170" s="166" t="s">
        <v>254</v>
      </c>
      <c r="J170" s="166" t="s">
        <v>254</v>
      </c>
      <c r="K170" s="167" t="s">
        <v>57</v>
      </c>
      <c r="L170"/>
    </row>
    <row r="171" spans="1:12" s="158" customFormat="1">
      <c r="A171" s="214">
        <v>170</v>
      </c>
      <c r="B171" s="37" t="s">
        <v>303</v>
      </c>
      <c r="C171" s="169" t="s">
        <v>325</v>
      </c>
      <c r="D171" s="162">
        <v>46329.541666666664</v>
      </c>
      <c r="E171" s="162">
        <v>46329.875</v>
      </c>
      <c r="F171" s="10" t="str">
        <f t="shared" si="3"/>
        <v>8.0</v>
      </c>
      <c r="G171" s="210">
        <v>102784</v>
      </c>
      <c r="H171" s="208">
        <v>3470</v>
      </c>
      <c r="I171" s="163" t="s">
        <v>45</v>
      </c>
      <c r="J171" s="163" t="s">
        <v>89</v>
      </c>
      <c r="K171" s="164" t="s">
        <v>45</v>
      </c>
      <c r="L171"/>
    </row>
    <row r="172" spans="1:12" s="158" customFormat="1">
      <c r="A172" s="214">
        <v>171</v>
      </c>
      <c r="B172" s="37" t="s">
        <v>303</v>
      </c>
      <c r="C172" s="172" t="s">
        <v>283</v>
      </c>
      <c r="D172" s="170">
        <v>46330.291666666664</v>
      </c>
      <c r="E172" s="170">
        <v>46330.666666666664</v>
      </c>
      <c r="F172" s="10" t="str">
        <f t="shared" ref="F172:F200" si="5">TEXT((VALUE(E172)-VALUE(D172))*24,"0.0")</f>
        <v>9.0</v>
      </c>
      <c r="G172" s="208">
        <v>85619</v>
      </c>
      <c r="H172" s="205">
        <v>2680</v>
      </c>
      <c r="I172" s="166" t="s">
        <v>284</v>
      </c>
      <c r="J172" s="166" t="s">
        <v>260</v>
      </c>
      <c r="K172" s="167" t="s">
        <v>284</v>
      </c>
      <c r="L172"/>
    </row>
    <row r="173" spans="1:12" s="158" customFormat="1">
      <c r="A173" s="214">
        <v>172</v>
      </c>
      <c r="B173" s="37" t="s">
        <v>303</v>
      </c>
      <c r="C173" s="157" t="s">
        <v>225</v>
      </c>
      <c r="D173" s="170">
        <v>46331.541666666664</v>
      </c>
      <c r="E173" s="170">
        <v>46331.875</v>
      </c>
      <c r="F173" s="10" t="str">
        <f t="shared" si="5"/>
        <v>8.0</v>
      </c>
      <c r="G173" s="213">
        <v>136201</v>
      </c>
      <c r="H173" s="212">
        <v>5246</v>
      </c>
      <c r="I173" s="203" t="s">
        <v>254</v>
      </c>
      <c r="J173" s="203" t="s">
        <v>254</v>
      </c>
      <c r="K173" s="216" t="s">
        <v>57</v>
      </c>
      <c r="L173"/>
    </row>
    <row r="174" spans="1:12" s="158" customFormat="1">
      <c r="A174" s="214">
        <v>173</v>
      </c>
      <c r="B174" s="37" t="s">
        <v>303</v>
      </c>
      <c r="C174" s="169" t="s">
        <v>325</v>
      </c>
      <c r="D174" s="162">
        <v>46333.333333333336</v>
      </c>
      <c r="E174" s="162">
        <v>46333.666666666664</v>
      </c>
      <c r="F174" s="10" t="str">
        <f t="shared" si="5"/>
        <v>8.0</v>
      </c>
      <c r="G174" s="210">
        <v>102784</v>
      </c>
      <c r="H174" s="208">
        <v>3470</v>
      </c>
      <c r="I174" s="163" t="s">
        <v>45</v>
      </c>
      <c r="J174" s="163" t="s">
        <v>45</v>
      </c>
      <c r="K174" s="164" t="s">
        <v>89</v>
      </c>
      <c r="L174"/>
    </row>
    <row r="175" spans="1:12" s="158" customFormat="1">
      <c r="A175" s="214">
        <v>174</v>
      </c>
      <c r="B175" s="37" t="s">
        <v>303</v>
      </c>
      <c r="C175" s="172" t="s">
        <v>296</v>
      </c>
      <c r="D175" s="170">
        <v>46335.291666666664</v>
      </c>
      <c r="E175" s="170">
        <v>46335.708333333336</v>
      </c>
      <c r="F175" s="10" t="str">
        <f t="shared" si="5"/>
        <v>10.0</v>
      </c>
      <c r="G175" s="208">
        <v>171598</v>
      </c>
      <c r="H175" s="205">
        <v>5686</v>
      </c>
      <c r="I175" s="166" t="s">
        <v>262</v>
      </c>
      <c r="J175" s="166" t="s">
        <v>262</v>
      </c>
      <c r="K175" s="164" t="s">
        <v>172</v>
      </c>
      <c r="L175"/>
    </row>
    <row r="176" spans="1:12" s="158" customFormat="1">
      <c r="A176" s="214">
        <v>175</v>
      </c>
      <c r="B176" s="32" t="s">
        <v>252</v>
      </c>
      <c r="C176" s="157" t="s">
        <v>225</v>
      </c>
      <c r="D176" s="170">
        <v>46335.541666666664</v>
      </c>
      <c r="E176" s="170">
        <v>46335.875</v>
      </c>
      <c r="F176" s="10" t="str">
        <f t="shared" si="5"/>
        <v>8.0</v>
      </c>
      <c r="G176" s="213">
        <v>136201</v>
      </c>
      <c r="H176" s="212">
        <v>5246</v>
      </c>
      <c r="I176" s="203" t="s">
        <v>254</v>
      </c>
      <c r="J176" s="203" t="s">
        <v>254</v>
      </c>
      <c r="K176" s="216" t="s">
        <v>57</v>
      </c>
      <c r="L176"/>
    </row>
    <row r="177" spans="1:12" s="158" customFormat="1">
      <c r="A177" s="214">
        <v>176</v>
      </c>
      <c r="B177" s="37" t="s">
        <v>303</v>
      </c>
      <c r="C177" s="157" t="s">
        <v>327</v>
      </c>
      <c r="D177" s="170">
        <v>46336.583333333336</v>
      </c>
      <c r="E177" s="162">
        <v>46337.625</v>
      </c>
      <c r="F177" s="10" t="str">
        <f t="shared" si="5"/>
        <v>25.0</v>
      </c>
      <c r="G177" s="213">
        <v>141900</v>
      </c>
      <c r="H177" s="212">
        <v>5232</v>
      </c>
      <c r="I177" s="203" t="s">
        <v>254</v>
      </c>
      <c r="J177" s="203" t="s">
        <v>254</v>
      </c>
      <c r="K177" s="203" t="s">
        <v>254</v>
      </c>
      <c r="L177" s="201" t="s">
        <v>304</v>
      </c>
    </row>
    <row r="178" spans="1:12" s="158" customFormat="1">
      <c r="A178" s="214">
        <v>177</v>
      </c>
      <c r="B178" s="37" t="s">
        <v>303</v>
      </c>
      <c r="C178" s="169" t="s">
        <v>325</v>
      </c>
      <c r="D178" s="162">
        <v>46338.333333333336</v>
      </c>
      <c r="E178" s="162">
        <v>46338.666666666664</v>
      </c>
      <c r="F178" s="10" t="str">
        <f t="shared" si="5"/>
        <v>8.0</v>
      </c>
      <c r="G178" s="210">
        <v>102784</v>
      </c>
      <c r="H178" s="208">
        <v>3470</v>
      </c>
      <c r="I178" s="163" t="s">
        <v>45</v>
      </c>
      <c r="J178" s="163" t="s">
        <v>45</v>
      </c>
      <c r="K178" s="164" t="s">
        <v>89</v>
      </c>
      <c r="L178"/>
    </row>
    <row r="179" spans="1:12" s="158" customFormat="1">
      <c r="A179" s="214">
        <v>178</v>
      </c>
      <c r="B179" s="37" t="s">
        <v>303</v>
      </c>
      <c r="C179" s="157" t="s">
        <v>225</v>
      </c>
      <c r="D179" s="170">
        <v>46339.541666666664</v>
      </c>
      <c r="E179" s="170">
        <v>46339.875</v>
      </c>
      <c r="F179" s="10" t="str">
        <f t="shared" si="5"/>
        <v>8.0</v>
      </c>
      <c r="G179" s="213">
        <v>136201</v>
      </c>
      <c r="H179" s="212">
        <v>5246</v>
      </c>
      <c r="I179" s="203" t="s">
        <v>254</v>
      </c>
      <c r="J179" s="203" t="s">
        <v>254</v>
      </c>
      <c r="K179" s="216" t="s">
        <v>57</v>
      </c>
      <c r="L179"/>
    </row>
    <row r="180" spans="1:12" s="158" customFormat="1">
      <c r="A180" s="214">
        <v>179</v>
      </c>
      <c r="B180" s="37" t="s">
        <v>303</v>
      </c>
      <c r="C180" s="169" t="s">
        <v>225</v>
      </c>
      <c r="D180" s="170">
        <v>46343.541666666664</v>
      </c>
      <c r="E180" s="170">
        <v>46343.875</v>
      </c>
      <c r="F180" s="10" t="str">
        <f t="shared" si="5"/>
        <v>8.0</v>
      </c>
      <c r="G180" s="213">
        <v>136201</v>
      </c>
      <c r="H180" s="212">
        <v>5246</v>
      </c>
      <c r="I180" s="203" t="s">
        <v>254</v>
      </c>
      <c r="J180" s="203" t="s">
        <v>254</v>
      </c>
      <c r="K180" s="216" t="s">
        <v>57</v>
      </c>
      <c r="L180"/>
    </row>
    <row r="181" spans="1:12" s="158" customFormat="1">
      <c r="A181" s="214">
        <v>180</v>
      </c>
      <c r="B181" s="37" t="s">
        <v>252</v>
      </c>
      <c r="C181" s="169" t="s">
        <v>325</v>
      </c>
      <c r="D181" s="162">
        <v>46343.333333333336</v>
      </c>
      <c r="E181" s="162">
        <v>46343.666666666664</v>
      </c>
      <c r="F181" s="10" t="str">
        <f t="shared" si="5"/>
        <v>8.0</v>
      </c>
      <c r="G181" s="210">
        <v>102784</v>
      </c>
      <c r="H181" s="208">
        <v>3470</v>
      </c>
      <c r="I181" s="163" t="s">
        <v>45</v>
      </c>
      <c r="J181" s="163" t="s">
        <v>45</v>
      </c>
      <c r="K181" s="164" t="s">
        <v>89</v>
      </c>
      <c r="L181"/>
    </row>
    <row r="182" spans="1:12" s="158" customFormat="1">
      <c r="A182" s="214">
        <v>181</v>
      </c>
      <c r="B182" s="37" t="s">
        <v>303</v>
      </c>
      <c r="C182" s="169" t="s">
        <v>272</v>
      </c>
      <c r="D182" s="162">
        <v>46346.458333333336</v>
      </c>
      <c r="E182" s="162">
        <v>46346.791666666664</v>
      </c>
      <c r="F182" s="10" t="str">
        <f t="shared" si="5"/>
        <v>8.0</v>
      </c>
      <c r="G182" s="210">
        <v>77499</v>
      </c>
      <c r="H182" s="208">
        <v>2270</v>
      </c>
      <c r="I182" s="163" t="s">
        <v>269</v>
      </c>
      <c r="J182" s="163" t="s">
        <v>255</v>
      </c>
      <c r="K182" s="164" t="s">
        <v>269</v>
      </c>
      <c r="L182"/>
    </row>
    <row r="183" spans="1:12" s="158" customFormat="1">
      <c r="A183" s="214">
        <v>182</v>
      </c>
      <c r="B183" s="37" t="s">
        <v>303</v>
      </c>
      <c r="C183" s="172" t="s">
        <v>225</v>
      </c>
      <c r="D183" s="170">
        <v>46347.541666666664</v>
      </c>
      <c r="E183" s="170">
        <v>46347.875</v>
      </c>
      <c r="F183" s="10" t="str">
        <f t="shared" si="5"/>
        <v>8.0</v>
      </c>
      <c r="G183" s="212">
        <v>136201</v>
      </c>
      <c r="H183" s="212">
        <v>5246</v>
      </c>
      <c r="I183" s="179" t="s">
        <v>254</v>
      </c>
      <c r="J183" s="179" t="s">
        <v>254</v>
      </c>
      <c r="K183" s="216" t="s">
        <v>57</v>
      </c>
      <c r="L183"/>
    </row>
    <row r="184" spans="1:12" s="158" customFormat="1">
      <c r="A184" s="214">
        <v>183</v>
      </c>
      <c r="B184" s="37" t="s">
        <v>303</v>
      </c>
      <c r="C184" s="169" t="s">
        <v>325</v>
      </c>
      <c r="D184" s="162">
        <v>46348.333333333336</v>
      </c>
      <c r="E184" s="162">
        <v>46348.666666666664</v>
      </c>
      <c r="F184" s="10" t="str">
        <f t="shared" si="5"/>
        <v>8.0</v>
      </c>
      <c r="G184" s="210">
        <v>102784</v>
      </c>
      <c r="H184" s="208">
        <v>3470</v>
      </c>
      <c r="I184" s="163" t="s">
        <v>45</v>
      </c>
      <c r="J184" s="163" t="s">
        <v>45</v>
      </c>
      <c r="K184" s="164" t="s">
        <v>89</v>
      </c>
      <c r="L184"/>
    </row>
    <row r="185" spans="1:12" s="158" customFormat="1">
      <c r="A185" s="214">
        <v>184</v>
      </c>
      <c r="B185" s="37" t="s">
        <v>303</v>
      </c>
      <c r="C185" s="157" t="s">
        <v>225</v>
      </c>
      <c r="D185" s="170">
        <v>46351.541666666664</v>
      </c>
      <c r="E185" s="170">
        <v>46351.875</v>
      </c>
      <c r="F185" s="10" t="str">
        <f t="shared" si="5"/>
        <v>8.0</v>
      </c>
      <c r="G185" s="212">
        <v>136201</v>
      </c>
      <c r="H185" s="212">
        <v>5246</v>
      </c>
      <c r="I185" s="157" t="s">
        <v>254</v>
      </c>
      <c r="J185" s="157" t="s">
        <v>254</v>
      </c>
      <c r="K185" s="216" t="s">
        <v>57</v>
      </c>
      <c r="L185"/>
    </row>
    <row r="186" spans="1:12" s="158" customFormat="1">
      <c r="A186" s="214">
        <v>185</v>
      </c>
      <c r="B186" s="37" t="s">
        <v>303</v>
      </c>
      <c r="C186" s="169" t="s">
        <v>325</v>
      </c>
      <c r="D186" s="162">
        <v>46353.333333333336</v>
      </c>
      <c r="E186" s="162">
        <v>46353.666666666664</v>
      </c>
      <c r="F186" s="10" t="str">
        <f t="shared" si="5"/>
        <v>8.0</v>
      </c>
      <c r="G186" s="210">
        <v>102784</v>
      </c>
      <c r="H186" s="208">
        <v>3470</v>
      </c>
      <c r="I186" s="163" t="s">
        <v>45</v>
      </c>
      <c r="J186" s="163" t="s">
        <v>45</v>
      </c>
      <c r="K186" s="164" t="s">
        <v>89</v>
      </c>
      <c r="L186"/>
    </row>
    <row r="187" spans="1:12" s="158" customFormat="1">
      <c r="A187" s="214">
        <v>186</v>
      </c>
      <c r="B187" s="37" t="s">
        <v>303</v>
      </c>
      <c r="C187" s="172" t="s">
        <v>225</v>
      </c>
      <c r="D187" s="170">
        <v>46355.541666666664</v>
      </c>
      <c r="E187" s="170">
        <v>46355.875</v>
      </c>
      <c r="F187" s="10" t="str">
        <f t="shared" si="5"/>
        <v>8.0</v>
      </c>
      <c r="G187" s="212">
        <v>136201</v>
      </c>
      <c r="H187" s="212">
        <v>5246</v>
      </c>
      <c r="I187" s="179" t="s">
        <v>254</v>
      </c>
      <c r="J187" s="179" t="s">
        <v>254</v>
      </c>
      <c r="K187" s="216" t="s">
        <v>57</v>
      </c>
      <c r="L187"/>
    </row>
    <row r="188" spans="1:12" s="158" customFormat="1">
      <c r="A188" s="214">
        <v>187</v>
      </c>
      <c r="B188" s="37" t="s">
        <v>303</v>
      </c>
      <c r="C188" s="169" t="s">
        <v>325</v>
      </c>
      <c r="D188" s="162">
        <v>46358.333333333336</v>
      </c>
      <c r="E188" s="162">
        <v>46358.666666666664</v>
      </c>
      <c r="F188" s="10" t="str">
        <f t="shared" si="5"/>
        <v>8.0</v>
      </c>
      <c r="G188" s="210">
        <v>102784</v>
      </c>
      <c r="H188" s="208">
        <v>3470</v>
      </c>
      <c r="I188" s="163" t="s">
        <v>45</v>
      </c>
      <c r="J188" s="163" t="s">
        <v>45</v>
      </c>
      <c r="K188" s="164" t="s">
        <v>89</v>
      </c>
      <c r="L188"/>
    </row>
    <row r="189" spans="1:12" s="158" customFormat="1">
      <c r="A189" s="214">
        <v>188</v>
      </c>
      <c r="B189" s="37" t="s">
        <v>303</v>
      </c>
      <c r="C189" s="169" t="s">
        <v>225</v>
      </c>
      <c r="D189" s="170">
        <v>46359.541666666664</v>
      </c>
      <c r="E189" s="170">
        <v>46359.875</v>
      </c>
      <c r="F189" s="10" t="str">
        <f t="shared" si="5"/>
        <v>8.0</v>
      </c>
      <c r="G189" s="213">
        <v>136201</v>
      </c>
      <c r="H189" s="212">
        <v>5246</v>
      </c>
      <c r="I189" s="203" t="s">
        <v>254</v>
      </c>
      <c r="J189" s="203" t="s">
        <v>254</v>
      </c>
      <c r="K189" s="216" t="s">
        <v>57</v>
      </c>
      <c r="L189"/>
    </row>
    <row r="190" spans="1:12" s="158" customFormat="1" ht="15" customHeight="1">
      <c r="A190" s="214">
        <v>189</v>
      </c>
      <c r="B190" s="37" t="s">
        <v>303</v>
      </c>
      <c r="C190" s="169" t="s">
        <v>225</v>
      </c>
      <c r="D190" s="170">
        <v>46363.541666666664</v>
      </c>
      <c r="E190" s="170">
        <v>46363.875</v>
      </c>
      <c r="F190" s="10" t="str">
        <f t="shared" si="5"/>
        <v>8.0</v>
      </c>
      <c r="G190" s="213">
        <v>136201</v>
      </c>
      <c r="H190" s="212">
        <v>5246</v>
      </c>
      <c r="I190" s="203" t="s">
        <v>254</v>
      </c>
      <c r="J190" s="203" t="s">
        <v>254</v>
      </c>
      <c r="K190" s="216" t="s">
        <v>57</v>
      </c>
      <c r="L190"/>
    </row>
    <row r="191" spans="1:12" s="158" customFormat="1" ht="15" customHeight="1">
      <c r="A191" s="214">
        <v>190</v>
      </c>
      <c r="B191" s="37" t="s">
        <v>320</v>
      </c>
      <c r="C191" s="169" t="s">
        <v>325</v>
      </c>
      <c r="D191" s="162">
        <v>46363.333333333336</v>
      </c>
      <c r="E191" s="162">
        <v>46363.666666666664</v>
      </c>
      <c r="F191" s="10" t="str">
        <f t="shared" si="5"/>
        <v>8.0</v>
      </c>
      <c r="G191" s="210">
        <v>102784</v>
      </c>
      <c r="H191" s="208">
        <v>3470</v>
      </c>
      <c r="I191" s="163" t="s">
        <v>45</v>
      </c>
      <c r="J191" s="163" t="s">
        <v>45</v>
      </c>
      <c r="K191" s="164" t="s">
        <v>89</v>
      </c>
      <c r="L191"/>
    </row>
    <row r="192" spans="1:12" s="158" customFormat="1" ht="15" customHeight="1">
      <c r="A192" s="214">
        <v>191</v>
      </c>
      <c r="B192" s="37" t="s">
        <v>303</v>
      </c>
      <c r="C192" s="169" t="s">
        <v>225</v>
      </c>
      <c r="D192" s="170">
        <v>46367.541666666664</v>
      </c>
      <c r="E192" s="170">
        <v>46367.875</v>
      </c>
      <c r="F192" s="10" t="str">
        <f t="shared" si="5"/>
        <v>8.0</v>
      </c>
      <c r="G192" s="213">
        <v>136201</v>
      </c>
      <c r="H192" s="212">
        <v>5246</v>
      </c>
      <c r="I192" s="203" t="s">
        <v>254</v>
      </c>
      <c r="J192" s="203" t="s">
        <v>254</v>
      </c>
      <c r="K192" s="216" t="s">
        <v>57</v>
      </c>
      <c r="L192"/>
    </row>
    <row r="193" spans="1:12" s="158" customFormat="1" ht="15" customHeight="1">
      <c r="A193" s="214">
        <v>192</v>
      </c>
      <c r="B193" s="37" t="s">
        <v>303</v>
      </c>
      <c r="C193" s="169" t="s">
        <v>325</v>
      </c>
      <c r="D193" s="162">
        <v>46368.333333333336</v>
      </c>
      <c r="E193" s="162">
        <v>46368.666666666664</v>
      </c>
      <c r="F193" s="10" t="str">
        <f t="shared" si="5"/>
        <v>8.0</v>
      </c>
      <c r="G193" s="210">
        <v>102784</v>
      </c>
      <c r="H193" s="208">
        <v>3470</v>
      </c>
      <c r="I193" s="163" t="s">
        <v>45</v>
      </c>
      <c r="J193" s="163" t="s">
        <v>45</v>
      </c>
      <c r="K193" s="164" t="s">
        <v>89</v>
      </c>
      <c r="L193"/>
    </row>
    <row r="194" spans="1:12" s="158" customFormat="1" ht="15" customHeight="1">
      <c r="A194" s="214">
        <v>193</v>
      </c>
      <c r="B194" s="37" t="s">
        <v>303</v>
      </c>
      <c r="C194" s="169" t="s">
        <v>325</v>
      </c>
      <c r="D194" s="162">
        <v>46373.333333333336</v>
      </c>
      <c r="E194" s="162">
        <v>46373.666666666664</v>
      </c>
      <c r="F194" s="10" t="str">
        <f t="shared" si="5"/>
        <v>8.0</v>
      </c>
      <c r="G194" s="210">
        <v>102784</v>
      </c>
      <c r="H194" s="208">
        <v>3470</v>
      </c>
      <c r="I194" s="163" t="s">
        <v>45</v>
      </c>
      <c r="J194" s="163" t="s">
        <v>45</v>
      </c>
      <c r="K194" s="164" t="s">
        <v>89</v>
      </c>
      <c r="L194"/>
    </row>
    <row r="195" spans="1:12" s="158" customFormat="1" ht="15" customHeight="1">
      <c r="A195" s="214">
        <v>194</v>
      </c>
      <c r="B195" s="74" t="s">
        <v>320</v>
      </c>
      <c r="C195" s="197" t="s">
        <v>225</v>
      </c>
      <c r="D195" s="170">
        <v>46373.25</v>
      </c>
      <c r="E195" s="170">
        <v>46373.708333333336</v>
      </c>
      <c r="F195" s="10" t="str">
        <f t="shared" ref="F195" si="6">TEXT((VALUE(E195)-VALUE(D195))*24,"0.0")</f>
        <v>11.0</v>
      </c>
      <c r="G195" s="213">
        <v>136201</v>
      </c>
      <c r="H195" s="212">
        <v>5246</v>
      </c>
      <c r="I195" s="203" t="s">
        <v>254</v>
      </c>
      <c r="J195" s="203" t="s">
        <v>61</v>
      </c>
      <c r="K195" s="216" t="s">
        <v>224</v>
      </c>
      <c r="L195"/>
    </row>
    <row r="196" spans="1:12" s="158" customFormat="1" ht="15" customHeight="1">
      <c r="A196" s="214">
        <v>195</v>
      </c>
      <c r="B196" s="74" t="s">
        <v>303</v>
      </c>
      <c r="C196" s="197" t="s">
        <v>225</v>
      </c>
      <c r="D196" s="170">
        <v>46375.541666666664</v>
      </c>
      <c r="E196" s="170">
        <v>46375.875</v>
      </c>
      <c r="F196" s="10" t="str">
        <f t="shared" si="5"/>
        <v>8.0</v>
      </c>
      <c r="G196" s="213">
        <v>136201</v>
      </c>
      <c r="H196" s="212">
        <v>5246</v>
      </c>
      <c r="I196" s="203" t="s">
        <v>254</v>
      </c>
      <c r="J196" s="203" t="s">
        <v>254</v>
      </c>
      <c r="K196" s="216" t="s">
        <v>57</v>
      </c>
      <c r="L196"/>
    </row>
    <row r="197" spans="1:12" s="158" customFormat="1" ht="15" customHeight="1">
      <c r="A197" s="214">
        <v>196</v>
      </c>
      <c r="B197" s="74" t="s">
        <v>303</v>
      </c>
      <c r="C197" s="169" t="s">
        <v>325</v>
      </c>
      <c r="D197" s="162">
        <v>46378.333333333336</v>
      </c>
      <c r="E197" s="162">
        <v>46378.666666666664</v>
      </c>
      <c r="F197" s="10" t="str">
        <f t="shared" si="5"/>
        <v>8.0</v>
      </c>
      <c r="G197" s="210">
        <v>102784</v>
      </c>
      <c r="H197" s="208">
        <v>3470</v>
      </c>
      <c r="I197" s="163" t="s">
        <v>45</v>
      </c>
      <c r="J197" s="163" t="s">
        <v>45</v>
      </c>
      <c r="K197" s="164" t="s">
        <v>89</v>
      </c>
      <c r="L197"/>
    </row>
    <row r="198" spans="1:12" s="158" customFormat="1" ht="15" customHeight="1">
      <c r="A198" s="214">
        <v>197</v>
      </c>
      <c r="B198" s="74" t="s">
        <v>303</v>
      </c>
      <c r="C198" s="197" t="s">
        <v>225</v>
      </c>
      <c r="D198" s="170">
        <v>46379.541666666664</v>
      </c>
      <c r="E198" s="170">
        <v>46379.875</v>
      </c>
      <c r="F198" s="10" t="str">
        <f t="shared" si="5"/>
        <v>8.0</v>
      </c>
      <c r="G198" s="213">
        <v>136201</v>
      </c>
      <c r="H198" s="212">
        <v>5246</v>
      </c>
      <c r="I198" s="203" t="s">
        <v>254</v>
      </c>
      <c r="J198" s="203" t="s">
        <v>254</v>
      </c>
      <c r="K198" s="216" t="s">
        <v>57</v>
      </c>
      <c r="L198"/>
    </row>
    <row r="199" spans="1:12" s="158" customFormat="1" ht="15" customHeight="1">
      <c r="A199" s="214">
        <v>198</v>
      </c>
      <c r="B199" s="74" t="s">
        <v>303</v>
      </c>
      <c r="C199" s="197" t="s">
        <v>225</v>
      </c>
      <c r="D199" s="170">
        <v>46383.541666666664</v>
      </c>
      <c r="E199" s="170">
        <v>46383.875</v>
      </c>
      <c r="F199" s="10" t="str">
        <f t="shared" si="5"/>
        <v>8.0</v>
      </c>
      <c r="G199" s="213">
        <v>136201</v>
      </c>
      <c r="H199" s="212">
        <v>5246</v>
      </c>
      <c r="I199" s="203" t="s">
        <v>254</v>
      </c>
      <c r="J199" s="203" t="s">
        <v>254</v>
      </c>
      <c r="K199" s="216" t="s">
        <v>57</v>
      </c>
      <c r="L199"/>
    </row>
    <row r="200" spans="1:12" s="158" customFormat="1" ht="15" customHeight="1">
      <c r="A200" s="214">
        <v>199</v>
      </c>
      <c r="B200" s="74" t="s">
        <v>252</v>
      </c>
      <c r="C200" s="169" t="s">
        <v>325</v>
      </c>
      <c r="D200" s="162">
        <v>46383.333333333336</v>
      </c>
      <c r="E200" s="162">
        <v>46383.666666666664</v>
      </c>
      <c r="F200" s="10" t="str">
        <f t="shared" si="5"/>
        <v>8.0</v>
      </c>
      <c r="G200" s="210">
        <v>102784</v>
      </c>
      <c r="H200" s="208">
        <v>3470</v>
      </c>
      <c r="I200" s="163" t="s">
        <v>45</v>
      </c>
      <c r="J200" s="163" t="s">
        <v>45</v>
      </c>
      <c r="K200" s="164" t="s">
        <v>89</v>
      </c>
      <c r="L200"/>
    </row>
  </sheetData>
  <autoFilter ref="A1:K200" xr:uid="{2E75516D-D0FD-4A78-984D-731A0704007A}"/>
  <phoneticPr fontId="3" type="noConversion"/>
  <conditionalFormatting sqref="C68:C69">
    <cfRule type="expression" dxfId="293" priority="390">
      <formula>#REF!="Cancelled"</formula>
    </cfRule>
    <cfRule type="expression" dxfId="292" priority="391">
      <formula>#REF!="Done"</formula>
    </cfRule>
  </conditionalFormatting>
  <conditionalFormatting sqref="C77">
    <cfRule type="expression" dxfId="291" priority="348">
      <formula>#REF!="Cancelled"</formula>
    </cfRule>
    <cfRule type="expression" dxfId="290" priority="349">
      <formula>#REF!="Done"</formula>
    </cfRule>
  </conditionalFormatting>
  <conditionalFormatting sqref="C79">
    <cfRule type="expression" dxfId="289" priority="338">
      <formula>#REF!="Cancelled"</formula>
    </cfRule>
    <cfRule type="expression" dxfId="288" priority="339">
      <formula>#REF!="Done"</formula>
    </cfRule>
  </conditionalFormatting>
  <conditionalFormatting sqref="C106">
    <cfRule type="expression" dxfId="287" priority="246">
      <formula>#REF!="Cancelled"</formula>
    </cfRule>
    <cfRule type="expression" dxfId="286" priority="247">
      <formula>#REF!="Done"</formula>
    </cfRule>
  </conditionalFormatting>
  <conditionalFormatting sqref="C107">
    <cfRule type="expression" dxfId="285" priority="240">
      <formula>$B107="Cancelled"</formula>
    </cfRule>
    <cfRule type="expression" dxfId="284" priority="241">
      <formula>$B107="Done"</formula>
    </cfRule>
  </conditionalFormatting>
  <conditionalFormatting sqref="C110">
    <cfRule type="expression" dxfId="283" priority="236">
      <formula>$B110="Cancelled"</formula>
    </cfRule>
    <cfRule type="expression" dxfId="282" priority="237">
      <formula>$B110="Done"</formula>
    </cfRule>
  </conditionalFormatting>
  <conditionalFormatting sqref="C125">
    <cfRule type="expression" dxfId="281" priority="208">
      <formula>#REF!="Cancelled"</formula>
    </cfRule>
    <cfRule type="expression" dxfId="280" priority="209">
      <formula>#REF!="Done"</formula>
    </cfRule>
  </conditionalFormatting>
  <conditionalFormatting sqref="C135">
    <cfRule type="expression" dxfId="279" priority="190">
      <formula>#REF!="Cancelled"</formula>
    </cfRule>
    <cfRule type="expression" dxfId="278" priority="191">
      <formula>#REF!="Done"</formula>
    </cfRule>
  </conditionalFormatting>
  <conditionalFormatting sqref="C153:C154">
    <cfRule type="expression" dxfId="277" priority="155">
      <formula>#REF!="Cancelled"</formula>
    </cfRule>
    <cfRule type="expression" dxfId="276" priority="156">
      <formula>#REF!="Done"</formula>
    </cfRule>
  </conditionalFormatting>
  <conditionalFormatting sqref="C160:C161">
    <cfRule type="expression" dxfId="275" priority="140">
      <formula>#REF!="Done"</formula>
    </cfRule>
    <cfRule type="expression" dxfId="274" priority="139">
      <formula>#REF!="Cancelled"</formula>
    </cfRule>
  </conditionalFormatting>
  <conditionalFormatting sqref="C179:C180">
    <cfRule type="expression" dxfId="273" priority="103">
      <formula>#REF!="Cancelled"</formula>
    </cfRule>
    <cfRule type="expression" dxfId="272" priority="104">
      <formula>#REF!="Done"</formula>
    </cfRule>
  </conditionalFormatting>
  <conditionalFormatting sqref="C182:C183">
    <cfRule type="expression" dxfId="271" priority="93">
      <formula>#REF!="Cancelled"</formula>
    </cfRule>
    <cfRule type="expression" dxfId="270" priority="94">
      <formula>#REF!="Done"</formula>
    </cfRule>
  </conditionalFormatting>
  <conditionalFormatting sqref="C189:C190">
    <cfRule type="expression" dxfId="269" priority="73">
      <formula>#REF!="Done"</formula>
    </cfRule>
    <cfRule type="expression" dxfId="268" priority="72">
      <formula>#REF!="Cancelled"</formula>
    </cfRule>
  </conditionalFormatting>
  <conditionalFormatting sqref="C192">
    <cfRule type="expression" dxfId="267" priority="65">
      <formula>#REF!="Cancelled"</formula>
    </cfRule>
    <cfRule type="expression" dxfId="266" priority="66">
      <formula>#REF!="Done"</formula>
    </cfRule>
  </conditionalFormatting>
  <conditionalFormatting sqref="C195:C196">
    <cfRule type="expression" dxfId="265" priority="13">
      <formula>#REF!="Done"</formula>
    </cfRule>
    <cfRule type="expression" dxfId="264" priority="12">
      <formula>#REF!="Cancelled"</formula>
    </cfRule>
  </conditionalFormatting>
  <conditionalFormatting sqref="C198:C199">
    <cfRule type="expression" dxfId="263" priority="55">
      <formula>#REF!="Cancelled"</formula>
    </cfRule>
    <cfRule type="expression" dxfId="262" priority="56">
      <formula>#REF!="Done"</formula>
    </cfRule>
  </conditionalFormatting>
  <conditionalFormatting sqref="C31:E31">
    <cfRule type="expression" dxfId="261" priority="470">
      <formula>#REF!="Cancelled"</formula>
    </cfRule>
    <cfRule type="expression" dxfId="260" priority="471">
      <formula>#REF!="Done"</formula>
    </cfRule>
  </conditionalFormatting>
  <conditionalFormatting sqref="C39:E39">
    <cfRule type="expression" dxfId="259" priority="458">
      <formula>#REF!="Cancelled"</formula>
    </cfRule>
    <cfRule type="expression" dxfId="258" priority="459">
      <formula>#REF!="Done"</formula>
    </cfRule>
  </conditionalFormatting>
  <conditionalFormatting sqref="C43:E47">
    <cfRule type="expression" dxfId="257" priority="436">
      <formula>#REF!="Cancelled"</formula>
    </cfRule>
    <cfRule type="expression" dxfId="256" priority="437">
      <formula>#REF!="Done"</formula>
    </cfRule>
  </conditionalFormatting>
  <conditionalFormatting sqref="C49:E51">
    <cfRule type="expression" dxfId="255" priority="432">
      <formula>#REF!="Cancelled"</formula>
    </cfRule>
    <cfRule type="expression" dxfId="254" priority="433">
      <formula>#REF!="Done"</formula>
    </cfRule>
  </conditionalFormatting>
  <conditionalFormatting sqref="C53:E54">
    <cfRule type="expression" dxfId="253" priority="428">
      <formula>#REF!="Cancelled"</formula>
    </cfRule>
    <cfRule type="expression" dxfId="252" priority="429">
      <formula>#REF!="Done"</formula>
    </cfRule>
  </conditionalFormatting>
  <conditionalFormatting sqref="C58:E59">
    <cfRule type="expression" dxfId="251" priority="420">
      <formula>#REF!="Cancelled"</formula>
    </cfRule>
    <cfRule type="expression" dxfId="250" priority="421">
      <formula>#REF!="Done"</formula>
    </cfRule>
  </conditionalFormatting>
  <conditionalFormatting sqref="C61:E62">
    <cfRule type="expression" dxfId="249" priority="409">
      <formula>#REF!="Done"</formula>
    </cfRule>
    <cfRule type="expression" dxfId="248" priority="408">
      <formula>#REF!="Cancelled"</formula>
    </cfRule>
  </conditionalFormatting>
  <conditionalFormatting sqref="C71:E74">
    <cfRule type="expression" dxfId="247" priority="365">
      <formula>#REF!="Done"</formula>
    </cfRule>
    <cfRule type="expression" dxfId="246" priority="364">
      <formula>#REF!="Cancelled"</formula>
    </cfRule>
  </conditionalFormatting>
  <conditionalFormatting sqref="C76:E76">
    <cfRule type="expression" dxfId="245" priority="343">
      <formula>#REF!="Done"</formula>
    </cfRule>
    <cfRule type="expression" dxfId="244" priority="342">
      <formula>#REF!="Cancelled"</formula>
    </cfRule>
  </conditionalFormatting>
  <conditionalFormatting sqref="C80:E80">
    <cfRule type="expression" dxfId="243" priority="331">
      <formula>#REF!="Done"</formula>
    </cfRule>
    <cfRule type="expression" dxfId="242" priority="330">
      <formula>#REF!="Cancelled"</formula>
    </cfRule>
  </conditionalFormatting>
  <conditionalFormatting sqref="C82:E84">
    <cfRule type="expression" dxfId="241" priority="315">
      <formula>#REF!="Done"</formula>
    </cfRule>
    <cfRule type="expression" dxfId="240" priority="314">
      <formula>#REF!="Cancelled"</formula>
    </cfRule>
  </conditionalFormatting>
  <conditionalFormatting sqref="C86:E103">
    <cfRule type="expression" dxfId="239" priority="2">
      <formula>#REF!="Done"</formula>
    </cfRule>
    <cfRule type="expression" dxfId="238" priority="1">
      <formula>#REF!="Cancelled"</formula>
    </cfRule>
  </conditionalFormatting>
  <conditionalFormatting sqref="C108:E108 J108:K108">
    <cfRule type="expression" dxfId="237" priority="242">
      <formula>#REF!="Cancelled"</formula>
    </cfRule>
    <cfRule type="expression" dxfId="236" priority="243">
      <formula>#REF!="Done"</formula>
    </cfRule>
  </conditionalFormatting>
  <conditionalFormatting sqref="C111:E111 J111:K111">
    <cfRule type="expression" dxfId="235" priority="235">
      <formula>#REF!="Done"</formula>
    </cfRule>
    <cfRule type="expression" dxfId="234" priority="234">
      <formula>#REF!="Cancelled"</formula>
    </cfRule>
  </conditionalFormatting>
  <conditionalFormatting sqref="C113:E115 J115:K115">
    <cfRule type="expression" dxfId="233" priority="224">
      <formula>#REF!="Cancelled"</formula>
    </cfRule>
    <cfRule type="expression" dxfId="232" priority="225">
      <formula>#REF!="Done"</formula>
    </cfRule>
  </conditionalFormatting>
  <conditionalFormatting sqref="C118:E119">
    <cfRule type="expression" dxfId="231" priority="218">
      <formula>#REF!="Cancelled"</formula>
    </cfRule>
    <cfRule type="expression" dxfId="230" priority="219">
      <formula>#REF!="Done"</formula>
    </cfRule>
  </conditionalFormatting>
  <conditionalFormatting sqref="C121:E121 J121:K121">
    <cfRule type="expression" dxfId="229" priority="215">
      <formula>#REF!="Done"</formula>
    </cfRule>
    <cfRule type="expression" dxfId="228" priority="214">
      <formula>#REF!="Cancelled"</formula>
    </cfRule>
  </conditionalFormatting>
  <conditionalFormatting sqref="C123:E123 J123:K123">
    <cfRule type="expression" dxfId="227" priority="211">
      <formula>#REF!="Done"</formula>
    </cfRule>
    <cfRule type="expression" dxfId="226" priority="210">
      <formula>#REF!="Cancelled"</formula>
    </cfRule>
  </conditionalFormatting>
  <conditionalFormatting sqref="C131:E131 J131:K131">
    <cfRule type="expression" dxfId="225" priority="198">
      <formula>#REF!="Cancelled"</formula>
    </cfRule>
    <cfRule type="expression" dxfId="224" priority="199">
      <formula>#REF!="Done"</formula>
    </cfRule>
  </conditionalFormatting>
  <conditionalFormatting sqref="C133:E133 J133:K133">
    <cfRule type="expression" dxfId="223" priority="192">
      <formula>#REF!="Cancelled"</formula>
    </cfRule>
    <cfRule type="expression" dxfId="222" priority="193">
      <formula>#REF!="Done"</formula>
    </cfRule>
  </conditionalFormatting>
  <conditionalFormatting sqref="C138:E138 J138:K138">
    <cfRule type="expression" dxfId="221" priority="185">
      <formula>#REF!="Done"</formula>
    </cfRule>
    <cfRule type="expression" dxfId="220" priority="184">
      <formula>#REF!="Cancelled"</formula>
    </cfRule>
  </conditionalFormatting>
  <conditionalFormatting sqref="C144:E144 J144:K144">
    <cfRule type="expression" dxfId="219" priority="175">
      <formula>#REF!="Done"</formula>
    </cfRule>
    <cfRule type="expression" dxfId="218" priority="174">
      <formula>#REF!="Cancelled"</formula>
    </cfRule>
  </conditionalFormatting>
  <conditionalFormatting sqref="C147:E147 J147:K147">
    <cfRule type="expression" dxfId="217" priority="171">
      <formula>#REF!="Done"</formula>
    </cfRule>
    <cfRule type="expression" dxfId="216" priority="170">
      <formula>#REF!="Cancelled"</formula>
    </cfRule>
  </conditionalFormatting>
  <conditionalFormatting sqref="C155:E155 J155:K155">
    <cfRule type="expression" dxfId="215" priority="152">
      <formula>#REF!="Done"</formula>
    </cfRule>
    <cfRule type="expression" dxfId="214" priority="151">
      <formula>#REF!="Cancelled"</formula>
    </cfRule>
  </conditionalFormatting>
  <conditionalFormatting sqref="C162:E162 J162:K162">
    <cfRule type="expression" dxfId="213" priority="141">
      <formula>#REF!="Cancelled"</formula>
    </cfRule>
    <cfRule type="expression" dxfId="212" priority="142">
      <formula>#REF!="Done"</formula>
    </cfRule>
  </conditionalFormatting>
  <conditionalFormatting sqref="C166:E166 J166:K166">
    <cfRule type="expression" dxfId="211" priority="131">
      <formula>#REF!="Cancelled"</formula>
    </cfRule>
    <cfRule type="expression" dxfId="210" priority="132">
      <formula>#REF!="Done"</formula>
    </cfRule>
  </conditionalFormatting>
  <conditionalFormatting sqref="C168:E168">
    <cfRule type="expression" dxfId="209" priority="126">
      <formula>#REF!="Done"</formula>
    </cfRule>
    <cfRule type="expression" dxfId="208" priority="125">
      <formula>#REF!="Cancelled"</formula>
    </cfRule>
  </conditionalFormatting>
  <conditionalFormatting sqref="C171:E171 J171:K171">
    <cfRule type="expression" dxfId="207" priority="117">
      <formula>#REF!="Cancelled"</formula>
    </cfRule>
    <cfRule type="expression" dxfId="206" priority="118">
      <formula>#REF!="Done"</formula>
    </cfRule>
  </conditionalFormatting>
  <conditionalFormatting sqref="C174:E174 J174:K175">
    <cfRule type="expression" dxfId="205" priority="108">
      <formula>#REF!="Done"</formula>
    </cfRule>
    <cfRule type="expression" dxfId="204" priority="107">
      <formula>#REF!="Cancelled"</formula>
    </cfRule>
  </conditionalFormatting>
  <conditionalFormatting sqref="C178:E178 J178:K178">
    <cfRule type="expression" dxfId="203" priority="105">
      <formula>#REF!="Cancelled"</formula>
    </cfRule>
    <cfRule type="expression" dxfId="202" priority="106">
      <formula>#REF!="Done"</formula>
    </cfRule>
  </conditionalFormatting>
  <conditionalFormatting sqref="C181:E181 J181:K181">
    <cfRule type="expression" dxfId="201" priority="99">
      <formula>#REF!="Cancelled"</formula>
    </cfRule>
    <cfRule type="expression" dxfId="200" priority="100">
      <formula>#REF!="Done"</formula>
    </cfRule>
  </conditionalFormatting>
  <conditionalFormatting sqref="C184:E184 J184:K184">
    <cfRule type="expression" dxfId="199" priority="86">
      <formula>#REF!="Cancelled"</formula>
    </cfRule>
    <cfRule type="expression" dxfId="198" priority="87">
      <formula>#REF!="Done"</formula>
    </cfRule>
  </conditionalFormatting>
  <conditionalFormatting sqref="C186:E186 J186:K186">
    <cfRule type="expression" dxfId="197" priority="82">
      <formula>#REF!="Done"</formula>
    </cfRule>
    <cfRule type="expression" dxfId="196" priority="81">
      <formula>#REF!="Cancelled"</formula>
    </cfRule>
  </conditionalFormatting>
  <conditionalFormatting sqref="C188:E188 J188:K188">
    <cfRule type="expression" dxfId="195" priority="75">
      <formula>#REF!="Done"</formula>
    </cfRule>
    <cfRule type="expression" dxfId="194" priority="74">
      <formula>#REF!="Cancelled"</formula>
    </cfRule>
  </conditionalFormatting>
  <conditionalFormatting sqref="C191:E191 J191:K191">
    <cfRule type="expression" dxfId="193" priority="68">
      <formula>#REF!="Done"</formula>
    </cfRule>
    <cfRule type="expression" dxfId="192" priority="67">
      <formula>#REF!="Cancelled"</formula>
    </cfRule>
  </conditionalFormatting>
  <conditionalFormatting sqref="C193:E194 J193:K194">
    <cfRule type="expression" dxfId="191" priority="49">
      <formula>#REF!="Done"</formula>
    </cfRule>
    <cfRule type="expression" dxfId="190" priority="48">
      <formula>#REF!="Cancelled"</formula>
    </cfRule>
  </conditionalFormatting>
  <conditionalFormatting sqref="C197:E197 J197:K197">
    <cfRule type="expression" dxfId="189" priority="44">
      <formula>#REF!="Done"</formula>
    </cfRule>
    <cfRule type="expression" dxfId="188" priority="43">
      <formula>#REF!="Cancelled"</formula>
    </cfRule>
  </conditionalFormatting>
  <conditionalFormatting sqref="C200:E200 J200:K200">
    <cfRule type="expression" dxfId="187" priority="38">
      <formula>#REF!="Cancelled"</formula>
    </cfRule>
    <cfRule type="expression" dxfId="186" priority="39">
      <formula>#REF!="Done"</formula>
    </cfRule>
  </conditionalFormatting>
  <conditionalFormatting sqref="D1">
    <cfRule type="duplicateValues" dxfId="185" priority="2986"/>
    <cfRule type="duplicateValues" dxfId="184" priority="2987"/>
    <cfRule type="top10" dxfId="183" priority="2988" rank="10"/>
    <cfRule type="top10" priority="2989" rank="10"/>
  </conditionalFormatting>
  <conditionalFormatting sqref="D183">
    <cfRule type="duplicateValues" dxfId="182" priority="89"/>
    <cfRule type="duplicateValues" dxfId="181" priority="91"/>
  </conditionalFormatting>
  <conditionalFormatting sqref="D187">
    <cfRule type="duplicateValues" dxfId="180" priority="84"/>
  </conditionalFormatting>
  <conditionalFormatting sqref="D189">
    <cfRule type="duplicateValues" dxfId="179" priority="77"/>
  </conditionalFormatting>
  <conditionalFormatting sqref="D190">
    <cfRule type="duplicateValues" dxfId="178" priority="70"/>
  </conditionalFormatting>
  <conditionalFormatting sqref="D192">
    <cfRule type="duplicateValues" dxfId="177" priority="63"/>
  </conditionalFormatting>
  <conditionalFormatting sqref="D195">
    <cfRule type="duplicateValues" dxfId="176" priority="10"/>
  </conditionalFormatting>
  <conditionalFormatting sqref="D196">
    <cfRule type="duplicateValues" dxfId="175" priority="51"/>
  </conditionalFormatting>
  <conditionalFormatting sqref="D198">
    <cfRule type="duplicateValues" dxfId="174" priority="46"/>
  </conditionalFormatting>
  <conditionalFormatting sqref="D199">
    <cfRule type="duplicateValues" dxfId="173" priority="41"/>
  </conditionalFormatting>
  <conditionalFormatting sqref="D201:D1048576">
    <cfRule type="top10" dxfId="172" priority="3130" rank="10"/>
    <cfRule type="duplicateValues" dxfId="171" priority="3129"/>
    <cfRule type="top10" priority="3131" rank="10"/>
    <cfRule type="duplicateValues" dxfId="170" priority="3128"/>
  </conditionalFormatting>
  <conditionalFormatting sqref="D60:E60">
    <cfRule type="expression" dxfId="169" priority="30">
      <formula>#REF!="Cancelled"</formula>
    </cfRule>
    <cfRule type="expression" dxfId="168" priority="31">
      <formula>#REF!="Done"</formula>
    </cfRule>
  </conditionalFormatting>
  <conditionalFormatting sqref="D63:E63">
    <cfRule type="expression" dxfId="167" priority="403">
      <formula>#REF!="Done"</formula>
    </cfRule>
    <cfRule type="expression" dxfId="166" priority="402">
      <formula>#REF!="Cancelled"</formula>
    </cfRule>
  </conditionalFormatting>
  <conditionalFormatting sqref="D66:E70">
    <cfRule type="expression" dxfId="165" priority="382">
      <formula>#REF!="Cancelled"</formula>
    </cfRule>
    <cfRule type="expression" dxfId="164" priority="383">
      <formula>#REF!="Done"</formula>
    </cfRule>
  </conditionalFormatting>
  <conditionalFormatting sqref="D75:E75">
    <cfRule type="expression" dxfId="163" priority="353">
      <formula>#REF!="Done"</formula>
    </cfRule>
    <cfRule type="expression" dxfId="162" priority="352">
      <formula>#REF!="Cancelled"</formula>
    </cfRule>
  </conditionalFormatting>
  <conditionalFormatting sqref="D77:E79">
    <cfRule type="expression" dxfId="161" priority="335">
      <formula>#REF!="Done"</formula>
    </cfRule>
    <cfRule type="expression" dxfId="160" priority="334">
      <formula>#REF!="Cancelled"</formula>
    </cfRule>
  </conditionalFormatting>
  <conditionalFormatting sqref="D81:E81">
    <cfRule type="expression" dxfId="159" priority="326">
      <formula>#REF!="Cancelled"</formula>
    </cfRule>
    <cfRule type="expression" dxfId="158" priority="327">
      <formula>#REF!="Done"</formula>
    </cfRule>
  </conditionalFormatting>
  <conditionalFormatting sqref="D85:E85">
    <cfRule type="expression" dxfId="157" priority="313">
      <formula>#REF!="Done"</formula>
    </cfRule>
    <cfRule type="expression" dxfId="156" priority="312">
      <formula>#REF!="Cancelled"</formula>
    </cfRule>
  </conditionalFormatting>
  <conditionalFormatting sqref="D104:E104">
    <cfRule type="expression" dxfId="155" priority="244">
      <formula>#REF!="Cancelled"</formula>
    </cfRule>
    <cfRule type="expression" dxfId="154" priority="245">
      <formula>#REF!="Done"</formula>
    </cfRule>
  </conditionalFormatting>
  <conditionalFormatting sqref="D127:E127">
    <cfRule type="expression" dxfId="153" priority="204">
      <formula>#REF!="Cancelled"</formula>
    </cfRule>
    <cfRule type="expression" dxfId="152" priority="205">
      <formula>#REF!="Done"</formula>
    </cfRule>
  </conditionalFormatting>
  <conditionalFormatting sqref="D140:E140">
    <cfRule type="expression" dxfId="151" priority="176">
      <formula>#REF!="Cancelled"</formula>
    </cfRule>
    <cfRule type="expression" dxfId="150" priority="177">
      <formula>#REF!="Done"</formula>
    </cfRule>
  </conditionalFormatting>
  <conditionalFormatting sqref="D156:E156">
    <cfRule type="expression" dxfId="149" priority="148">
      <formula>#REF!="Done"</formula>
    </cfRule>
    <cfRule type="expression" dxfId="148" priority="147">
      <formula>#REF!="Cancelled"</formula>
    </cfRule>
  </conditionalFormatting>
  <conditionalFormatting sqref="D160:E160">
    <cfRule type="expression" dxfId="147" priority="137">
      <formula>#REF!="Cancelled"</formula>
    </cfRule>
    <cfRule type="expression" dxfId="146" priority="138">
      <formula>#REF!="Done"</formula>
    </cfRule>
  </conditionalFormatting>
  <conditionalFormatting sqref="D163:E163">
    <cfRule type="expression" dxfId="145" priority="133">
      <formula>#REF!="Cancelled"</formula>
    </cfRule>
    <cfRule type="expression" dxfId="144" priority="134">
      <formula>#REF!="Done"</formula>
    </cfRule>
  </conditionalFormatting>
  <conditionalFormatting sqref="D167:E167">
    <cfRule type="expression" dxfId="143" priority="128">
      <formula>#REF!="Done"</formula>
    </cfRule>
    <cfRule type="expression" dxfId="142" priority="127">
      <formula>#REF!="Cancelled"</formula>
    </cfRule>
  </conditionalFormatting>
  <conditionalFormatting sqref="D169:E169">
    <cfRule type="expression" dxfId="141" priority="120">
      <formula>$B169="Done"</formula>
    </cfRule>
    <cfRule type="expression" dxfId="140" priority="119">
      <formula>$B169="Cancelled"</formula>
    </cfRule>
  </conditionalFormatting>
  <conditionalFormatting sqref="D173:E173">
    <cfRule type="expression" dxfId="139" priority="113">
      <formula>$B173="Cancelled"</formula>
    </cfRule>
    <cfRule type="expression" dxfId="138" priority="114">
      <formula>$B173="Done"</formula>
    </cfRule>
  </conditionalFormatting>
  <conditionalFormatting sqref="D176:E176 D177">
    <cfRule type="expression" dxfId="137" priority="112">
      <formula>$B176="Done"</formula>
    </cfRule>
    <cfRule type="expression" dxfId="136" priority="111">
      <formula>$B176="Cancelled"</formula>
    </cfRule>
  </conditionalFormatting>
  <conditionalFormatting sqref="D179:E180">
    <cfRule type="expression" dxfId="135" priority="101">
      <formula>$B179="Cancelled"</formula>
    </cfRule>
    <cfRule type="expression" dxfId="134" priority="102">
      <formula>$B179="Done"</formula>
    </cfRule>
  </conditionalFormatting>
  <conditionalFormatting sqref="D183:E183">
    <cfRule type="cellIs" dxfId="133" priority="88" operator="equal">
      <formula>46204.5</formula>
    </cfRule>
  </conditionalFormatting>
  <conditionalFormatting sqref="D187:E187">
    <cfRule type="cellIs" dxfId="132" priority="83" operator="equal">
      <formula>46204.5</formula>
    </cfRule>
  </conditionalFormatting>
  <conditionalFormatting sqref="D189:E190">
    <cfRule type="cellIs" dxfId="131" priority="69" operator="equal">
      <formula>46204.5</formula>
    </cfRule>
  </conditionalFormatting>
  <conditionalFormatting sqref="D192:E192">
    <cfRule type="cellIs" dxfId="130" priority="62" operator="equal">
      <formula>46204.5</formula>
    </cfRule>
  </conditionalFormatting>
  <conditionalFormatting sqref="D195:E196">
    <cfRule type="cellIs" dxfId="129" priority="9" operator="equal">
      <formula>46204.5</formula>
    </cfRule>
  </conditionalFormatting>
  <conditionalFormatting sqref="D198:E199">
    <cfRule type="cellIs" dxfId="128" priority="40" operator="equal">
      <formula>46204.5</formula>
    </cfRule>
  </conditionalFormatting>
  <conditionalFormatting sqref="E177">
    <cfRule type="expression" dxfId="127" priority="14">
      <formula>#REF!="Cancelled"</formula>
    </cfRule>
    <cfRule type="expression" dxfId="126" priority="15">
      <formula>#REF!="Done"</formula>
    </cfRule>
  </conditionalFormatting>
  <conditionalFormatting sqref="E183">
    <cfRule type="duplicateValues" dxfId="125" priority="92"/>
    <cfRule type="duplicateValues" dxfId="124" priority="90"/>
  </conditionalFormatting>
  <conditionalFormatting sqref="E187">
    <cfRule type="duplicateValues" dxfId="123" priority="85"/>
  </conditionalFormatting>
  <conditionalFormatting sqref="E189">
    <cfRule type="duplicateValues" dxfId="122" priority="78"/>
  </conditionalFormatting>
  <conditionalFormatting sqref="E190">
    <cfRule type="duplicateValues" dxfId="121" priority="71"/>
  </conditionalFormatting>
  <conditionalFormatting sqref="E192">
    <cfRule type="duplicateValues" dxfId="120" priority="64"/>
  </conditionalFormatting>
  <conditionalFormatting sqref="E195">
    <cfRule type="duplicateValues" dxfId="119" priority="11"/>
  </conditionalFormatting>
  <conditionalFormatting sqref="E196">
    <cfRule type="duplicateValues" dxfId="118" priority="52"/>
  </conditionalFormatting>
  <conditionalFormatting sqref="E198">
    <cfRule type="duplicateValues" dxfId="117" priority="47"/>
  </conditionalFormatting>
  <conditionalFormatting sqref="E199">
    <cfRule type="duplicateValues" dxfId="116" priority="42"/>
  </conditionalFormatting>
  <conditionalFormatting sqref="I31:J31">
    <cfRule type="expression" dxfId="115" priority="469">
      <formula>#REF!="Done"</formula>
    </cfRule>
    <cfRule type="expression" dxfId="114" priority="468">
      <formula>#REF!="Cancelled"</formula>
    </cfRule>
  </conditionalFormatting>
  <conditionalFormatting sqref="I53:J53">
    <cfRule type="expression" dxfId="113" priority="426">
      <formula>#REF!="Cancelled"</formula>
    </cfRule>
    <cfRule type="expression" dxfId="112" priority="427">
      <formula>#REF!="Done"</formula>
    </cfRule>
  </conditionalFormatting>
  <conditionalFormatting sqref="I119:J119">
    <cfRule type="expression" dxfId="111" priority="216">
      <formula>#REF!="Cancelled"</formula>
    </cfRule>
    <cfRule type="expression" dxfId="110" priority="217">
      <formula>#REF!="Done"</formula>
    </cfRule>
  </conditionalFormatting>
  <conditionalFormatting sqref="J39">
    <cfRule type="expression" dxfId="109" priority="456">
      <formula>#REF!="Cancelled"</formula>
    </cfRule>
    <cfRule type="expression" dxfId="108" priority="457">
      <formula>#REF!="Done"</formula>
    </cfRule>
  </conditionalFormatting>
  <conditionalFormatting sqref="J41">
    <cfRule type="expression" dxfId="107" priority="446">
      <formula>#REF!="Cancelled"</formula>
    </cfRule>
    <cfRule type="expression" dxfId="106" priority="447">
      <formula>#REF!="Done"</formula>
    </cfRule>
  </conditionalFormatting>
  <conditionalFormatting sqref="J44">
    <cfRule type="expression" dxfId="105" priority="439">
      <formula>#REF!="Done"</formula>
    </cfRule>
    <cfRule type="expression" dxfId="104" priority="438">
      <formula>#REF!="Cancelled"</formula>
    </cfRule>
  </conditionalFormatting>
  <conditionalFormatting sqref="J62">
    <cfRule type="expression" dxfId="103" priority="406">
      <formula>#REF!="Cancelled"</formula>
    </cfRule>
    <cfRule type="expression" dxfId="102" priority="407">
      <formula>#REF!="Done"</formula>
    </cfRule>
  </conditionalFormatting>
  <conditionalFormatting sqref="J71">
    <cfRule type="expression" dxfId="101" priority="377">
      <formula>#REF!="Done"</formula>
    </cfRule>
    <cfRule type="expression" dxfId="100" priority="376">
      <formula>#REF!="Cancelled"</formula>
    </cfRule>
  </conditionalFormatting>
  <conditionalFormatting sqref="J76:J77">
    <cfRule type="expression" dxfId="99" priority="341">
      <formula>#REF!="Done"</formula>
    </cfRule>
    <cfRule type="expression" dxfId="98" priority="340">
      <formula>#REF!="Cancelled"</formula>
    </cfRule>
  </conditionalFormatting>
  <conditionalFormatting sqref="J87:J88">
    <cfRule type="expression" dxfId="97" priority="298">
      <formula>#REF!="Cancelled"</formula>
    </cfRule>
    <cfRule type="expression" dxfId="96" priority="299">
      <formula>#REF!="Done"</formula>
    </cfRule>
  </conditionalFormatting>
  <conditionalFormatting sqref="J114">
    <cfRule type="expression" dxfId="95" priority="229">
      <formula>#REF!="Done"</formula>
    </cfRule>
    <cfRule type="expression" dxfId="94" priority="228">
      <formula>#REF!="Cancelled"</formula>
    </cfRule>
  </conditionalFormatting>
  <conditionalFormatting sqref="J127">
    <cfRule type="expression" dxfId="93" priority="207">
      <formula>#REF!="Done"</formula>
    </cfRule>
    <cfRule type="expression" dxfId="92" priority="206">
      <formula>#REF!="Cancelled"</formula>
    </cfRule>
  </conditionalFormatting>
  <conditionalFormatting sqref="J140">
    <cfRule type="expression" dxfId="91" priority="179">
      <formula>#REF!="Done"</formula>
    </cfRule>
    <cfRule type="expression" dxfId="90" priority="178">
      <formula>#REF!="Cancelled"</formula>
    </cfRule>
  </conditionalFormatting>
  <conditionalFormatting sqref="J156">
    <cfRule type="expression" dxfId="89" priority="150">
      <formula>#REF!="Done"</formula>
    </cfRule>
    <cfRule type="expression" dxfId="88" priority="149">
      <formula>#REF!="Cancelled"</formula>
    </cfRule>
  </conditionalFormatting>
  <conditionalFormatting sqref="J163">
    <cfRule type="expression" dxfId="87" priority="136">
      <formula>#REF!="Done"</formula>
    </cfRule>
    <cfRule type="expression" dxfId="86" priority="135">
      <formula>#REF!="Cancelled"</formula>
    </cfRule>
  </conditionalFormatting>
  <conditionalFormatting sqref="J167:J168">
    <cfRule type="expression" dxfId="85" priority="123">
      <formula>#REF!="Cancelled"</formula>
    </cfRule>
    <cfRule type="expression" dxfId="84" priority="124">
      <formula>#REF!="Done"</formula>
    </cfRule>
  </conditionalFormatting>
  <conditionalFormatting sqref="J86:K86">
    <cfRule type="expression" dxfId="83" priority="304">
      <formula>#REF!="Cancelled"</formula>
    </cfRule>
    <cfRule type="expression" dxfId="82" priority="305">
      <formula>#REF!="Done"</formula>
    </cfRule>
  </conditionalFormatting>
  <conditionalFormatting sqref="J91:K91">
    <cfRule type="expression" dxfId="81" priority="288">
      <formula>#REF!="Cancelled"</formula>
    </cfRule>
    <cfRule type="expression" dxfId="80" priority="289">
      <formula>#REF!="Done"</formula>
    </cfRule>
  </conditionalFormatting>
  <conditionalFormatting sqref="J94:K95">
    <cfRule type="expression" dxfId="79" priority="281">
      <formula>#REF!="Done"</formula>
    </cfRule>
    <cfRule type="expression" dxfId="78" priority="280">
      <formula>#REF!="Cancelled"</formula>
    </cfRule>
  </conditionalFormatting>
  <conditionalFormatting sqref="J97:K97">
    <cfRule type="expression" dxfId="77" priority="274">
      <formula>#REF!="Cancelled"</formula>
    </cfRule>
    <cfRule type="expression" dxfId="76" priority="275">
      <formula>#REF!="Done"</formula>
    </cfRule>
  </conditionalFormatting>
  <conditionalFormatting sqref="J99:K99">
    <cfRule type="expression" dxfId="75" priority="266">
      <formula>#REF!="Cancelled"</formula>
    </cfRule>
    <cfRule type="expression" dxfId="74" priority="267">
      <formula>#REF!="Done"</formula>
    </cfRule>
  </conditionalFormatting>
  <conditionalFormatting sqref="J102:K102">
    <cfRule type="expression" dxfId="73" priority="259">
      <formula>#REF!="Done"</formula>
    </cfRule>
    <cfRule type="expression" dxfId="72" priority="258">
      <formula>#REF!="Cancelled"</formula>
    </cfRule>
  </conditionalFormatting>
  <conditionalFormatting sqref="J113:K113">
    <cfRule type="expression" dxfId="71" priority="232">
      <formula>#REF!="Cancelled"</formula>
    </cfRule>
    <cfRule type="expression" dxfId="70" priority="233">
      <formula>#REF!="Done"</formula>
    </cfRule>
  </conditionalFormatting>
  <conditionalFormatting sqref="J118:K118">
    <cfRule type="expression" dxfId="69" priority="221">
      <formula>#REF!="Done"</formula>
    </cfRule>
    <cfRule type="expression" dxfId="68" priority="220">
      <formula>#REF!="Cancelled"</formula>
    </cfRule>
  </conditionalFormatting>
  <conditionalFormatting sqref="J153:K153">
    <cfRule type="expression" dxfId="67" priority="154">
      <formula>#REF!="Done"</formula>
    </cfRule>
    <cfRule type="expression" dxfId="66" priority="153">
      <formula>#REF!="Cancelled"</formula>
    </cfRule>
  </conditionalFormatting>
  <conditionalFormatting sqref="K2:K5 K13 C41:E41 J43:K43 K44:K45 J46:K47 J50 J54:K54 J59:K59 C65:E65 C66 J74 J82:K82 J84:K84 K92 K112 C122 K132 K170 K172 D182:E182 C187">
    <cfRule type="expression" dxfId="65" priority="492">
      <formula>#REF!="Cancelled"</formula>
    </cfRule>
    <cfRule type="expression" dxfId="64" priority="493">
      <formula>#REF!="Done"</formula>
    </cfRule>
  </conditionalFormatting>
  <conditionalFormatting sqref="K7:K11">
    <cfRule type="expression" dxfId="63" priority="490">
      <formula>#REF!="Cancelled"</formula>
    </cfRule>
    <cfRule type="expression" dxfId="62" priority="491">
      <formula>#REF!="Done"</formula>
    </cfRule>
  </conditionalFormatting>
  <conditionalFormatting sqref="K17:K22">
    <cfRule type="expression" dxfId="61" priority="480">
      <formula>#REF!="Cancelled"</formula>
    </cfRule>
    <cfRule type="expression" dxfId="60" priority="481">
      <formula>#REF!="Done"</formula>
    </cfRule>
  </conditionalFormatting>
  <conditionalFormatting sqref="K25">
    <cfRule type="expression" dxfId="59" priority="478">
      <formula>#REF!="Cancelled"</formula>
    </cfRule>
    <cfRule type="expression" dxfId="58" priority="479">
      <formula>#REF!="Done"</formula>
    </cfRule>
  </conditionalFormatting>
  <conditionalFormatting sqref="K28">
    <cfRule type="expression" dxfId="57" priority="474">
      <formula>#REF!="Cancelled"</formula>
    </cfRule>
    <cfRule type="expression" dxfId="56" priority="475">
      <formula>#REF!="Done"</formula>
    </cfRule>
  </conditionalFormatting>
  <conditionalFormatting sqref="K33:K34">
    <cfRule type="expression" dxfId="55" priority="460">
      <formula>#REF!="Cancelled"</formula>
    </cfRule>
    <cfRule type="expression" dxfId="54" priority="461">
      <formula>#REF!="Done"</formula>
    </cfRule>
  </conditionalFormatting>
  <conditionalFormatting sqref="K36">
    <cfRule type="expression" dxfId="53" priority="462">
      <formula>#REF!="Cancelled"</formula>
    </cfRule>
    <cfRule type="expression" dxfId="52" priority="463">
      <formula>#REF!="Done"</formula>
    </cfRule>
  </conditionalFormatting>
  <conditionalFormatting sqref="K39:K42">
    <cfRule type="expression" dxfId="51" priority="442">
      <formula>#REF!="Cancelled"</formula>
    </cfRule>
    <cfRule type="expression" dxfId="50" priority="443">
      <formula>#REF!="Done"</formula>
    </cfRule>
  </conditionalFormatting>
  <conditionalFormatting sqref="K48:K52">
    <cfRule type="expression" dxfId="49" priority="430">
      <formula>#REF!="Cancelled"</formula>
    </cfRule>
    <cfRule type="expression" dxfId="48" priority="431">
      <formula>#REF!="Done"</formula>
    </cfRule>
  </conditionalFormatting>
  <conditionalFormatting sqref="K55:K58">
    <cfRule type="expression" dxfId="47" priority="418">
      <formula>#REF!="Cancelled"</formula>
    </cfRule>
    <cfRule type="expression" dxfId="46" priority="419">
      <formula>#REF!="Done"</formula>
    </cfRule>
  </conditionalFormatting>
  <conditionalFormatting sqref="K60">
    <cfRule type="expression" dxfId="45" priority="29">
      <formula>#REF!="Done"</formula>
    </cfRule>
    <cfRule type="expression" dxfId="44" priority="28">
      <formula>#REF!="Cancelled"</formula>
    </cfRule>
  </conditionalFormatting>
  <conditionalFormatting sqref="K62:K81">
    <cfRule type="expression" dxfId="43" priority="325">
      <formula>#REF!="Done"</formula>
    </cfRule>
    <cfRule type="expression" dxfId="42" priority="324">
      <formula>#REF!="Cancelled"</formula>
    </cfRule>
  </conditionalFormatting>
  <conditionalFormatting sqref="K83">
    <cfRule type="expression" dxfId="41" priority="319">
      <formula>#REF!="Done"</formula>
    </cfRule>
    <cfRule type="expression" dxfId="40" priority="318">
      <formula>#REF!="Cancelled"</formula>
    </cfRule>
  </conditionalFormatting>
  <conditionalFormatting sqref="K85">
    <cfRule type="expression" dxfId="39" priority="310">
      <formula>#REF!="Cancelled"</formula>
    </cfRule>
    <cfRule type="expression" dxfId="38" priority="311">
      <formula>#REF!="Done"</formula>
    </cfRule>
  </conditionalFormatting>
  <conditionalFormatting sqref="K87:K90">
    <cfRule type="expression" dxfId="37" priority="297">
      <formula>#REF!="Done"</formula>
    </cfRule>
    <cfRule type="expression" dxfId="36" priority="296">
      <formula>#REF!="Cancelled"</formula>
    </cfRule>
  </conditionalFormatting>
  <conditionalFormatting sqref="K98">
    <cfRule type="expression" dxfId="35" priority="268">
      <formula>#REF!="Cancelled"</formula>
    </cfRule>
    <cfRule type="expression" dxfId="34" priority="269">
      <formula>#REF!="Done"</formula>
    </cfRule>
  </conditionalFormatting>
  <conditionalFormatting sqref="K100:K101">
    <cfRule type="expression" dxfId="33" priority="261">
      <formula>#REF!="Done"</formula>
    </cfRule>
    <cfRule type="expression" dxfId="32" priority="260">
      <formula>#REF!="Cancelled"</formula>
    </cfRule>
  </conditionalFormatting>
  <conditionalFormatting sqref="K103">
    <cfRule type="expression" dxfId="31" priority="248">
      <formula>#REF!="Cancelled"</formula>
    </cfRule>
    <cfRule type="expression" dxfId="30" priority="249">
      <formula>#REF!="Done"</formula>
    </cfRule>
  </conditionalFormatting>
  <conditionalFormatting sqref="K109">
    <cfRule type="expression" dxfId="29" priority="239">
      <formula>#REF!="Done"</formula>
    </cfRule>
    <cfRule type="expression" dxfId="28" priority="238">
      <formula>#REF!="Cancelled"</formula>
    </cfRule>
  </conditionalFormatting>
  <conditionalFormatting sqref="K117">
    <cfRule type="expression" dxfId="27" priority="223">
      <formula>#REF!="Done"</formula>
    </cfRule>
    <cfRule type="expression" dxfId="26" priority="222">
      <formula>#REF!="Cancelled"</formula>
    </cfRule>
  </conditionalFormatting>
  <conditionalFormatting sqref="K122">
    <cfRule type="expression" dxfId="25" priority="213">
      <formula>#REF!="Done"</formula>
    </cfRule>
    <cfRule type="expression" dxfId="24" priority="212">
      <formula>#REF!="Cancelled"</formula>
    </cfRule>
  </conditionalFormatting>
  <conditionalFormatting sqref="K130">
    <cfRule type="expression" dxfId="23" priority="201">
      <formula>#REF!="Done"</formula>
    </cfRule>
    <cfRule type="expression" dxfId="22" priority="200">
      <formula>#REF!="Cancelled"</formula>
    </cfRule>
  </conditionalFormatting>
  <conditionalFormatting sqref="K134">
    <cfRule type="expression" dxfId="21" priority="17">
      <formula>#REF!="Done"</formula>
    </cfRule>
    <cfRule type="expression" dxfId="20" priority="16">
      <formula>#REF!="Cancelled"</formula>
    </cfRule>
  </conditionalFormatting>
  <conditionalFormatting sqref="K137">
    <cfRule type="expression" dxfId="19" priority="24">
      <formula>#REF!="Cancelled"</formula>
    </cfRule>
    <cfRule type="expression" dxfId="18" priority="25">
      <formula>#REF!="Done"</formula>
    </cfRule>
  </conditionalFormatting>
  <conditionalFormatting sqref="K139">
    <cfRule type="expression" dxfId="17" priority="23">
      <formula>#REF!="Done"</formula>
    </cfRule>
    <cfRule type="expression" dxfId="16" priority="22">
      <formula>#REF!="Cancelled"</formula>
    </cfRule>
  </conditionalFormatting>
  <conditionalFormatting sqref="K142:K143">
    <cfRule type="expression" dxfId="15" priority="21">
      <formula>#REF!="Done"</formula>
    </cfRule>
    <cfRule type="expression" dxfId="14" priority="20">
      <formula>#REF!="Cancelled"</formula>
    </cfRule>
  </conditionalFormatting>
  <conditionalFormatting sqref="K145:K146">
    <cfRule type="expression" dxfId="13" priority="173">
      <formula>#REF!="Done"</formula>
    </cfRule>
    <cfRule type="expression" dxfId="12" priority="172">
      <formula>#REF!="Cancelled"</formula>
    </cfRule>
  </conditionalFormatting>
  <conditionalFormatting sqref="K148:K152 K154 K157 K161 K164:K165">
    <cfRule type="expression" dxfId="11" priority="167">
      <formula>#REF!="Done"</formula>
    </cfRule>
    <cfRule type="expression" dxfId="10" priority="166">
      <formula>#REF!="Cancelled"</formula>
    </cfRule>
  </conditionalFormatting>
  <conditionalFormatting sqref="K159 K168">
    <cfRule type="expression" dxfId="9" priority="399">
      <formula>#REF!="Done"</formula>
    </cfRule>
    <cfRule type="expression" dxfId="8" priority="398">
      <formula>#REF!="Cancelled"</formula>
    </cfRule>
  </conditionalFormatting>
  <conditionalFormatting sqref="K182">
    <cfRule type="expression" dxfId="7" priority="96">
      <formula>#REF!="Done"</formula>
    </cfRule>
    <cfRule type="expression" dxfId="6" priority="95">
      <formula>#REF!="Cancelled"</formula>
    </cfRule>
  </conditionalFormatting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C39F-DF1A-46C8-95EA-F868F95C73B6}">
  <dimension ref="A1:F38"/>
  <sheetViews>
    <sheetView topLeftCell="A16" zoomScale="70" zoomScaleNormal="70" workbookViewId="0">
      <selection activeCell="F5" sqref="F5:F36"/>
    </sheetView>
  </sheetViews>
  <sheetFormatPr defaultRowHeight="17.399999999999999"/>
  <cols>
    <col min="1" max="1" width="32.19921875" customWidth="1"/>
    <col min="2" max="2" width="40.8984375" bestFit="1" customWidth="1"/>
    <col min="3" max="3" width="18.59765625" customWidth="1"/>
    <col min="4" max="4" width="13.8984375" customWidth="1"/>
    <col min="5" max="5" width="12" customWidth="1"/>
    <col min="6" max="6" width="19.3984375" bestFit="1" customWidth="1"/>
  </cols>
  <sheetData>
    <row r="1" spans="1:6" ht="40.799999999999997" thickBot="1">
      <c r="A1" s="243" t="s">
        <v>140</v>
      </c>
      <c r="B1" s="243"/>
      <c r="C1" s="243"/>
      <c r="D1" s="243"/>
      <c r="E1" s="243"/>
      <c r="F1" s="243"/>
    </row>
    <row r="2" spans="1:6">
      <c r="A2" s="223" t="s">
        <v>145</v>
      </c>
      <c r="B2" s="225" t="s">
        <v>144</v>
      </c>
      <c r="C2" s="227" t="s">
        <v>142</v>
      </c>
      <c r="D2" s="227" t="s">
        <v>141</v>
      </c>
      <c r="E2" s="244" t="s">
        <v>143</v>
      </c>
      <c r="F2" s="229" t="s">
        <v>99</v>
      </c>
    </row>
    <row r="3" spans="1:6">
      <c r="A3" s="224"/>
      <c r="B3" s="226"/>
      <c r="C3" s="228"/>
      <c r="D3" s="228"/>
      <c r="E3" s="228"/>
      <c r="F3" s="230"/>
    </row>
    <row r="4" spans="1:6" ht="27.6">
      <c r="A4" s="44" t="s">
        <v>154</v>
      </c>
      <c r="B4" s="45" t="s">
        <v>160</v>
      </c>
      <c r="C4" s="45"/>
      <c r="D4" s="45"/>
      <c r="E4" s="45">
        <f>SUM(E5:E36)</f>
        <v>305</v>
      </c>
      <c r="F4" s="46"/>
    </row>
    <row r="5" spans="1:6" ht="27.6">
      <c r="A5" s="47" t="s">
        <v>100</v>
      </c>
      <c r="B5" s="48" t="s">
        <v>101</v>
      </c>
      <c r="C5" s="49">
        <v>114147</v>
      </c>
      <c r="D5" s="49">
        <v>5260</v>
      </c>
      <c r="E5" s="50">
        <f>COUNTIF(통합!$E$2:$E$684,'총괄(항구분없음)'!B5)</f>
        <v>3</v>
      </c>
      <c r="F5" s="51" t="s">
        <v>102</v>
      </c>
    </row>
    <row r="6" spans="1:6" ht="27.6">
      <c r="A6" s="47" t="s">
        <v>166</v>
      </c>
      <c r="B6" s="48" t="s">
        <v>167</v>
      </c>
      <c r="C6" s="49">
        <v>50444</v>
      </c>
      <c r="D6" s="49">
        <v>960</v>
      </c>
      <c r="E6" s="50">
        <f>COUNTIF(통합!$E$2:$E$684,'총괄(항구분없음)'!B6)</f>
        <v>1</v>
      </c>
      <c r="F6" s="51" t="s">
        <v>168</v>
      </c>
    </row>
    <row r="7" spans="1:6" ht="27" customHeight="1">
      <c r="A7" s="47" t="s">
        <v>104</v>
      </c>
      <c r="B7" s="48" t="s">
        <v>24</v>
      </c>
      <c r="C7" s="49">
        <v>71304</v>
      </c>
      <c r="D7" s="49">
        <v>2964</v>
      </c>
      <c r="E7" s="50">
        <f>COUNTIF(통합!$E$2:$E$684,'총괄(항구분없음)'!B7)</f>
        <v>1</v>
      </c>
      <c r="F7" s="51" t="s">
        <v>92</v>
      </c>
    </row>
    <row r="8" spans="1:6" ht="27.6">
      <c r="A8" s="47" t="s">
        <v>105</v>
      </c>
      <c r="B8" s="52" t="s">
        <v>106</v>
      </c>
      <c r="C8" s="53">
        <v>115906</v>
      </c>
      <c r="D8" s="53">
        <v>3102</v>
      </c>
      <c r="E8" s="50">
        <f>COUNTIF(통합!$E$2:$E$684,'총괄(항구분없음)'!B8)</f>
        <v>6</v>
      </c>
      <c r="F8" s="51" t="s">
        <v>103</v>
      </c>
    </row>
    <row r="9" spans="1:6" ht="27.6">
      <c r="A9" s="54" t="s">
        <v>129</v>
      </c>
      <c r="B9" s="55" t="s">
        <v>130</v>
      </c>
      <c r="C9" s="56">
        <v>90963</v>
      </c>
      <c r="D9" s="56">
        <v>2593</v>
      </c>
      <c r="E9" s="50">
        <f>COUNTIF(통합!$E$2:$E$684,'총괄(항구분없음)'!B9)</f>
        <v>7</v>
      </c>
      <c r="F9" s="51" t="s">
        <v>103</v>
      </c>
    </row>
    <row r="10" spans="1:6" ht="27.6">
      <c r="A10" s="54" t="s">
        <v>107</v>
      </c>
      <c r="B10" s="55" t="s">
        <v>74</v>
      </c>
      <c r="C10" s="56">
        <v>90901</v>
      </c>
      <c r="D10" s="56">
        <v>2092</v>
      </c>
      <c r="E10" s="50">
        <f>COUNTIF(통합!$E$2:$E$684,'총괄(항구분없음)'!B10)</f>
        <v>1</v>
      </c>
      <c r="F10" s="51" t="s">
        <v>112</v>
      </c>
    </row>
    <row r="11" spans="1:6" ht="27.6">
      <c r="A11" s="57" t="s">
        <v>158</v>
      </c>
      <c r="B11" s="55" t="s">
        <v>138</v>
      </c>
      <c r="C11" s="56">
        <v>30277</v>
      </c>
      <c r="D11" s="56">
        <v>803</v>
      </c>
      <c r="E11" s="50">
        <f>COUNTIF(통합!$E$2:$E$684,'총괄(항구분없음)'!B11)</f>
        <v>1</v>
      </c>
      <c r="F11" s="51" t="s">
        <v>92</v>
      </c>
    </row>
    <row r="12" spans="1:6" ht="27.6">
      <c r="A12" s="57" t="s">
        <v>157</v>
      </c>
      <c r="B12" s="55" t="s">
        <v>31</v>
      </c>
      <c r="C12" s="56">
        <v>55254</v>
      </c>
      <c r="D12" s="56">
        <v>829</v>
      </c>
      <c r="E12" s="50">
        <f>COUNTIF(통합!$E$2:$E$684,'총괄(항구분없음)'!B12)</f>
        <v>1</v>
      </c>
      <c r="F12" s="51" t="s">
        <v>92</v>
      </c>
    </row>
    <row r="13" spans="1:6" ht="27.6">
      <c r="A13" s="57" t="s">
        <v>152</v>
      </c>
      <c r="B13" s="55" t="s">
        <v>133</v>
      </c>
      <c r="C13" s="56">
        <v>82897</v>
      </c>
      <c r="D13" s="56">
        <v>2380</v>
      </c>
      <c r="E13" s="50">
        <f>COUNTIF(통합!$E$2:$E$684,'총괄(항구분없음)'!B13)</f>
        <v>1</v>
      </c>
      <c r="F13" s="58" t="s">
        <v>92</v>
      </c>
    </row>
    <row r="14" spans="1:6" ht="27.6">
      <c r="A14" s="57" t="s">
        <v>159</v>
      </c>
      <c r="B14" s="55" t="s">
        <v>35</v>
      </c>
      <c r="C14" s="56">
        <v>51044</v>
      </c>
      <c r="D14" s="56">
        <v>606</v>
      </c>
      <c r="E14" s="50">
        <f>COUNTIF(통합!$E$2:$E$684,'총괄(항구분없음)'!B14)</f>
        <v>1</v>
      </c>
      <c r="F14" s="58" t="s">
        <v>103</v>
      </c>
    </row>
    <row r="15" spans="1:6" ht="27.6">
      <c r="A15" s="57" t="s">
        <v>108</v>
      </c>
      <c r="B15" s="52" t="s">
        <v>82</v>
      </c>
      <c r="C15" s="53">
        <v>171598</v>
      </c>
      <c r="D15" s="53">
        <v>5654</v>
      </c>
      <c r="E15" s="50">
        <f>COUNTIF(통합!$E$2:$E$684,'총괄(항구분없음)'!B15)</f>
        <v>19</v>
      </c>
      <c r="F15" s="58" t="s">
        <v>102</v>
      </c>
    </row>
    <row r="16" spans="1:6" ht="27.6">
      <c r="A16" s="57" t="s">
        <v>108</v>
      </c>
      <c r="B16" s="52" t="s">
        <v>76</v>
      </c>
      <c r="C16" s="53">
        <v>137936</v>
      </c>
      <c r="D16" s="53">
        <v>4363</v>
      </c>
      <c r="E16" s="50">
        <f>COUNTIF(통합!$E$2:$E$684,'총괄(항구분없음)'!B16)</f>
        <v>11</v>
      </c>
      <c r="F16" s="58" t="s">
        <v>102</v>
      </c>
    </row>
    <row r="17" spans="1:6" ht="27.6">
      <c r="A17" s="54" t="s">
        <v>153</v>
      </c>
      <c r="B17" s="59" t="s">
        <v>91</v>
      </c>
      <c r="C17" s="56">
        <v>5602</v>
      </c>
      <c r="D17" s="56">
        <v>120</v>
      </c>
      <c r="E17" s="50">
        <f>COUNTIF(통합!$E$2:$E$684,'총괄(항구분없음)'!B17)</f>
        <v>3</v>
      </c>
      <c r="F17" s="58" t="s">
        <v>92</v>
      </c>
    </row>
    <row r="18" spans="1:6" ht="27.6">
      <c r="A18" s="54" t="s">
        <v>109</v>
      </c>
      <c r="B18" s="55" t="s">
        <v>110</v>
      </c>
      <c r="C18" s="56">
        <v>42830</v>
      </c>
      <c r="D18" s="56">
        <v>706</v>
      </c>
      <c r="E18" s="50">
        <f>COUNTIF(통합!$E$2:$E$684,'총괄(항구분없음)'!B18)</f>
        <v>1</v>
      </c>
      <c r="F18" s="58" t="s">
        <v>103</v>
      </c>
    </row>
    <row r="19" spans="1:6" ht="27.6">
      <c r="A19" s="47" t="s">
        <v>111</v>
      </c>
      <c r="B19" s="52" t="s">
        <v>155</v>
      </c>
      <c r="C19" s="53">
        <v>22472</v>
      </c>
      <c r="D19" s="53">
        <v>607</v>
      </c>
      <c r="E19" s="50">
        <f>COUNTIF(통합!$E$2:$E$684,'총괄(항구분없음)'!B19)</f>
        <v>1</v>
      </c>
      <c r="F19" s="58" t="s">
        <v>103</v>
      </c>
    </row>
    <row r="20" spans="1:6" ht="27.6">
      <c r="A20" s="47" t="s">
        <v>111</v>
      </c>
      <c r="B20" s="52" t="s">
        <v>190</v>
      </c>
      <c r="C20" s="53">
        <v>32477</v>
      </c>
      <c r="D20" s="53">
        <v>540</v>
      </c>
      <c r="E20" s="50">
        <f>COUNTIF(통합!$E$2:$E$684,'총괄(항구분없음)'!B20)</f>
        <v>1</v>
      </c>
      <c r="F20" s="58" t="s">
        <v>103</v>
      </c>
    </row>
    <row r="21" spans="1:6" ht="27.6">
      <c r="A21" s="47" t="s">
        <v>152</v>
      </c>
      <c r="B21" s="52" t="s">
        <v>134</v>
      </c>
      <c r="C21" s="53">
        <v>32477</v>
      </c>
      <c r="D21" s="53">
        <v>540</v>
      </c>
      <c r="E21" s="50">
        <f>COUNTIF(통합!$E$2:$E$684,'총괄(항구분없음)'!B21)</f>
        <v>1</v>
      </c>
      <c r="F21" s="58" t="s">
        <v>112</v>
      </c>
    </row>
    <row r="22" spans="1:6" ht="27.6">
      <c r="A22" s="47" t="s">
        <v>156</v>
      </c>
      <c r="B22" s="52" t="s">
        <v>135</v>
      </c>
      <c r="C22" s="53">
        <v>98811</v>
      </c>
      <c r="D22" s="53">
        <v>2534</v>
      </c>
      <c r="E22" s="50">
        <f>COUNTIF(통합!$E$2:$E$684,'총괄(항구분없음)'!B22)</f>
        <v>1</v>
      </c>
      <c r="F22" s="58" t="s">
        <v>125</v>
      </c>
    </row>
    <row r="23" spans="1:6" ht="27.6">
      <c r="A23" s="47" t="s">
        <v>113</v>
      </c>
      <c r="B23" s="52" t="s">
        <v>132</v>
      </c>
      <c r="C23" s="53">
        <v>77104</v>
      </c>
      <c r="D23" s="53">
        <v>2405</v>
      </c>
      <c r="E23" s="50">
        <f>COUNTIF(통합!$E$2:$E$684,'총괄(항구분없음)'!B23)</f>
        <v>2</v>
      </c>
      <c r="F23" s="58" t="s">
        <v>92</v>
      </c>
    </row>
    <row r="24" spans="1:6" ht="27.6">
      <c r="A24" s="47" t="s">
        <v>113</v>
      </c>
      <c r="B24" s="52" t="s">
        <v>114</v>
      </c>
      <c r="C24" s="53">
        <v>75904</v>
      </c>
      <c r="D24" s="53">
        <v>2639</v>
      </c>
      <c r="E24" s="50">
        <f>COUNTIF(통합!$E$2:$E$684,'총괄(항구분없음)'!B24)</f>
        <v>15</v>
      </c>
      <c r="F24" s="58" t="s">
        <v>92</v>
      </c>
    </row>
    <row r="25" spans="1:6" ht="27.6">
      <c r="A25" s="47" t="s">
        <v>113</v>
      </c>
      <c r="B25" s="55" t="s">
        <v>139</v>
      </c>
      <c r="C25" s="56">
        <v>78309</v>
      </c>
      <c r="D25" s="56">
        <v>2323</v>
      </c>
      <c r="E25" s="50">
        <f>COUNTIF(통합!$E$2:$E$684,'총괄(항구분없음)'!B25)</f>
        <v>2</v>
      </c>
      <c r="F25" s="58" t="s">
        <v>92</v>
      </c>
    </row>
    <row r="26" spans="1:6" ht="27.6">
      <c r="A26" s="54" t="s">
        <v>115</v>
      </c>
      <c r="B26" s="55" t="s">
        <v>83</v>
      </c>
      <c r="C26" s="56">
        <v>40791</v>
      </c>
      <c r="D26" s="56">
        <v>623</v>
      </c>
      <c r="E26" s="50">
        <f>COUNTIF(통합!$E$2:$E$684,'총괄(항구분없음)'!B26)</f>
        <v>2</v>
      </c>
      <c r="F26" s="51" t="s">
        <v>131</v>
      </c>
    </row>
    <row r="27" spans="1:6" ht="27.6">
      <c r="A27" s="54" t="s">
        <v>115</v>
      </c>
      <c r="B27" s="55" t="s">
        <v>137</v>
      </c>
      <c r="C27" s="56">
        <v>22498</v>
      </c>
      <c r="D27" s="56">
        <v>228</v>
      </c>
      <c r="E27" s="50">
        <f>COUNTIF(통합!$E$2:$E$684,'총괄(항구분없음)'!B27)</f>
        <v>1</v>
      </c>
      <c r="F27" s="51" t="s">
        <v>112</v>
      </c>
    </row>
    <row r="28" spans="1:6" ht="27.6">
      <c r="A28" s="54" t="s">
        <v>115</v>
      </c>
      <c r="B28" s="60" t="s">
        <v>136</v>
      </c>
      <c r="C28" s="61">
        <v>28258</v>
      </c>
      <c r="D28" s="61">
        <v>466</v>
      </c>
      <c r="E28" s="50">
        <f>COUNTIF(통합!$E$2:$E$684,'총괄(항구분없음)'!B28)</f>
        <v>1</v>
      </c>
      <c r="F28" s="58" t="s">
        <v>125</v>
      </c>
    </row>
    <row r="29" spans="1:6" ht="27.6">
      <c r="A29" s="62" t="s">
        <v>116</v>
      </c>
      <c r="B29" s="60" t="s">
        <v>117</v>
      </c>
      <c r="C29" s="61">
        <v>85619</v>
      </c>
      <c r="D29" s="61">
        <v>2680</v>
      </c>
      <c r="E29" s="50">
        <f>COUNTIF(통합!$E$2:$E$684,'총괄(항구분없음)'!B29)</f>
        <v>45</v>
      </c>
      <c r="F29" s="51" t="s">
        <v>118</v>
      </c>
    </row>
    <row r="30" spans="1:6" ht="27.6">
      <c r="A30" s="62" t="s">
        <v>116</v>
      </c>
      <c r="B30" s="60" t="s">
        <v>119</v>
      </c>
      <c r="C30" s="61">
        <v>135500</v>
      </c>
      <c r="D30" s="61">
        <v>5246</v>
      </c>
      <c r="E30" s="50">
        <f>COUNTIF(통합!$E$2:$E$684,'총괄(항구분없음)'!B30)</f>
        <v>48</v>
      </c>
      <c r="F30" s="51" t="s">
        <v>120</v>
      </c>
    </row>
    <row r="31" spans="1:6" ht="27.6">
      <c r="A31" s="62" t="s">
        <v>121</v>
      </c>
      <c r="B31" s="60" t="s">
        <v>122</v>
      </c>
      <c r="C31" s="61">
        <v>47842</v>
      </c>
      <c r="D31" s="61">
        <v>954</v>
      </c>
      <c r="E31" s="50">
        <f>COUNTIF(통합!$E$2:$E$684,'총괄(항구분없음)'!B31)</f>
        <v>7</v>
      </c>
      <c r="F31" s="51" t="s">
        <v>120</v>
      </c>
    </row>
    <row r="32" spans="1:6" ht="27.6">
      <c r="A32" s="62" t="s">
        <v>123</v>
      </c>
      <c r="B32" s="60" t="s">
        <v>124</v>
      </c>
      <c r="C32" s="61">
        <v>169379</v>
      </c>
      <c r="D32" s="61">
        <v>5622</v>
      </c>
      <c r="E32" s="50">
        <f>COUNTIF(통합!$E$2:$E$684,'총괄(항구분없음)'!B32)</f>
        <v>21</v>
      </c>
      <c r="F32" s="51" t="s">
        <v>120</v>
      </c>
    </row>
    <row r="33" spans="1:6" ht="27.6">
      <c r="A33" s="62" t="s">
        <v>123</v>
      </c>
      <c r="B33" s="60" t="s">
        <v>25</v>
      </c>
      <c r="C33" s="61">
        <v>168666</v>
      </c>
      <c r="D33" s="61">
        <v>4825</v>
      </c>
      <c r="E33" s="50">
        <f>COUNTIF(통합!$E$2:$E$684,'총괄(항구분없음)'!B33)</f>
        <v>1</v>
      </c>
      <c r="F33" s="51" t="s">
        <v>131</v>
      </c>
    </row>
    <row r="34" spans="1:6" ht="27.6">
      <c r="A34" s="62" t="s">
        <v>123</v>
      </c>
      <c r="B34" s="60" t="s">
        <v>43</v>
      </c>
      <c r="C34" s="61">
        <v>168666</v>
      </c>
      <c r="D34" s="61">
        <v>4919</v>
      </c>
      <c r="E34" s="50">
        <f>COUNTIF(통합!$E$2:$E$684,'총괄(항구분없음)'!B34)</f>
        <v>16</v>
      </c>
      <c r="F34" s="51" t="s">
        <v>118</v>
      </c>
    </row>
    <row r="35" spans="1:6" ht="27.6">
      <c r="A35" s="62" t="s">
        <v>189</v>
      </c>
      <c r="B35" s="60" t="s">
        <v>174</v>
      </c>
      <c r="C35" s="61">
        <v>69840</v>
      </c>
      <c r="D35" s="61">
        <v>1975</v>
      </c>
      <c r="E35" s="50">
        <f>COUNTIF(통합!$E$2:$E$684,'총괄(항구분없음)'!B35)</f>
        <v>18</v>
      </c>
      <c r="F35" s="51" t="s">
        <v>179</v>
      </c>
    </row>
    <row r="36" spans="1:6" ht="27.6">
      <c r="A36" s="54" t="s">
        <v>126</v>
      </c>
      <c r="B36" s="55" t="s">
        <v>127</v>
      </c>
      <c r="C36" s="56">
        <v>77499</v>
      </c>
      <c r="D36" s="56">
        <v>2222</v>
      </c>
      <c r="E36" s="50">
        <f>COUNTIF(통합!$E$2:$E$684,'총괄(항구분없음)'!B36)</f>
        <v>65</v>
      </c>
      <c r="F36" s="51" t="s">
        <v>118</v>
      </c>
    </row>
    <row r="37" spans="1:6" ht="27.6">
      <c r="A37" s="63"/>
      <c r="B37" s="64"/>
      <c r="C37" s="64"/>
      <c r="D37" s="64"/>
      <c r="E37" s="65"/>
      <c r="F37" s="66"/>
    </row>
    <row r="38" spans="1:6" ht="27.6">
      <c r="A38" s="67" t="s">
        <v>128</v>
      </c>
      <c r="B38" s="67"/>
      <c r="C38" s="67"/>
      <c r="D38" s="67"/>
      <c r="E38" s="67"/>
      <c r="F38" s="67"/>
    </row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53E3-5FE2-4020-AD73-88A758DDDD00}">
  <sheetPr filterMode="1">
    <pageSetUpPr fitToPage="1"/>
  </sheetPr>
  <dimension ref="A1:M307"/>
  <sheetViews>
    <sheetView workbookViewId="0">
      <pane ySplit="1" topLeftCell="A250" activePane="bottomLeft" state="frozen"/>
      <selection pane="bottomLeft"/>
    </sheetView>
  </sheetViews>
  <sheetFormatPr defaultRowHeight="17.399999999999999"/>
  <cols>
    <col min="1" max="1" width="9.09765625" style="17" bestFit="1" customWidth="1"/>
    <col min="2" max="2" width="9.09765625" style="17" customWidth="1"/>
    <col min="3" max="3" width="11.19921875" bestFit="1" customWidth="1"/>
    <col min="4" max="4" width="16" customWidth="1"/>
    <col min="5" max="5" width="22.19921875" customWidth="1"/>
    <col min="6" max="6" width="15.19921875" customWidth="1"/>
    <col min="7" max="7" width="9.09765625" bestFit="1" customWidth="1"/>
    <col min="8" max="9" width="14.3984375" bestFit="1" customWidth="1"/>
    <col min="10" max="10" width="16.09765625" customWidth="1"/>
    <col min="11" max="11" width="15.5" customWidth="1"/>
    <col min="12" max="12" width="9.59765625" customWidth="1"/>
    <col min="13" max="13" width="9.09765625" bestFit="1" customWidth="1"/>
  </cols>
  <sheetData>
    <row r="1" spans="1:13" ht="34.799999999999997">
      <c r="A1" s="31" t="s">
        <v>1</v>
      </c>
      <c r="B1" s="36" t="s">
        <v>34</v>
      </c>
      <c r="C1" s="32" t="s">
        <v>2</v>
      </c>
      <c r="D1" s="18" t="s">
        <v>12</v>
      </c>
      <c r="E1" s="18" t="s">
        <v>11</v>
      </c>
      <c r="F1" s="18" t="s">
        <v>3</v>
      </c>
      <c r="G1" s="18" t="s">
        <v>10</v>
      </c>
      <c r="H1" s="18" t="s">
        <v>9</v>
      </c>
      <c r="I1" s="18" t="s">
        <v>8</v>
      </c>
      <c r="J1" s="18" t="s">
        <v>7</v>
      </c>
      <c r="K1" s="18" t="s">
        <v>6</v>
      </c>
      <c r="L1" s="18" t="s">
        <v>4</v>
      </c>
      <c r="M1" s="18" t="s">
        <v>5</v>
      </c>
    </row>
    <row r="2" spans="1:13" hidden="1">
      <c r="A2" s="36">
        <v>1</v>
      </c>
      <c r="B2" s="4" t="s">
        <v>55</v>
      </c>
      <c r="C2" s="37" t="s">
        <v>55</v>
      </c>
      <c r="D2" s="19">
        <v>45658</v>
      </c>
      <c r="E2" s="18" t="s">
        <v>190</v>
      </c>
      <c r="F2" s="1" t="s">
        <v>20</v>
      </c>
      <c r="G2" s="70">
        <v>0.29166666666666669</v>
      </c>
      <c r="H2" s="70">
        <v>0.70833333333333337</v>
      </c>
      <c r="I2" s="1" t="s">
        <v>165</v>
      </c>
      <c r="J2" s="1" t="s">
        <v>57</v>
      </c>
      <c r="K2" s="10" t="str">
        <f>TEXT((VALUE(H2)-VALUE(G2))*24,"0.0")</f>
        <v>10.0</v>
      </c>
      <c r="L2" s="69">
        <v>32477</v>
      </c>
      <c r="M2" s="69">
        <v>458</v>
      </c>
    </row>
    <row r="3" spans="1:13">
      <c r="A3" s="36">
        <v>2</v>
      </c>
      <c r="B3" s="4" t="s">
        <v>55</v>
      </c>
      <c r="C3" s="37" t="s">
        <v>191</v>
      </c>
      <c r="D3" s="19">
        <v>45658</v>
      </c>
      <c r="E3" s="18" t="s">
        <v>192</v>
      </c>
      <c r="F3" s="7" t="s">
        <v>45</v>
      </c>
      <c r="G3" s="70">
        <v>0.41666666666666669</v>
      </c>
      <c r="H3" s="70">
        <v>0.75</v>
      </c>
      <c r="I3" s="7" t="s">
        <v>193</v>
      </c>
      <c r="J3" s="7" t="s">
        <v>45</v>
      </c>
      <c r="K3" s="10" t="str">
        <f>TEXT((VALUE(H3)-VALUE(G3))*24,"0.0")</f>
        <v>8.0</v>
      </c>
      <c r="L3" s="69">
        <v>77499</v>
      </c>
      <c r="M3" s="69">
        <v>2222</v>
      </c>
    </row>
    <row r="4" spans="1:13" hidden="1">
      <c r="A4" s="36">
        <v>3</v>
      </c>
      <c r="B4" s="4" t="s">
        <v>55</v>
      </c>
      <c r="C4" s="37" t="s">
        <v>55</v>
      </c>
      <c r="D4" s="19">
        <v>45660</v>
      </c>
      <c r="E4" s="18" t="s">
        <v>174</v>
      </c>
      <c r="F4" s="9" t="s">
        <v>148</v>
      </c>
      <c r="G4" s="70">
        <v>0.54166666666666663</v>
      </c>
      <c r="H4" s="70">
        <v>0.875</v>
      </c>
      <c r="I4" s="9" t="s">
        <v>148</v>
      </c>
      <c r="J4" s="1" t="s">
        <v>36</v>
      </c>
      <c r="K4" s="10" t="str">
        <f t="shared" ref="K4:K43" si="0">TEXT((VALUE(H4)-VALUE(G4))*24,"0.0")</f>
        <v>8.0</v>
      </c>
      <c r="L4" s="69">
        <v>49840</v>
      </c>
      <c r="M4" s="69">
        <v>1975</v>
      </c>
    </row>
    <row r="5" spans="1:13">
      <c r="A5" s="4">
        <v>4</v>
      </c>
      <c r="B5" s="4" t="s">
        <v>37</v>
      </c>
      <c r="C5" s="37" t="s">
        <v>95</v>
      </c>
      <c r="D5" s="19">
        <v>45661</v>
      </c>
      <c r="E5" s="20" t="s">
        <v>75</v>
      </c>
      <c r="F5" s="1" t="s">
        <v>98</v>
      </c>
      <c r="G5" s="1">
        <v>0.58333333333333337</v>
      </c>
      <c r="H5" s="1">
        <v>0.9375</v>
      </c>
      <c r="I5" s="1" t="s">
        <v>98</v>
      </c>
      <c r="J5" s="2" t="s">
        <v>40</v>
      </c>
      <c r="K5" s="10" t="str">
        <f t="shared" si="0"/>
        <v>8.5</v>
      </c>
      <c r="L5" s="21">
        <v>135500</v>
      </c>
      <c r="M5" s="21">
        <v>5246</v>
      </c>
    </row>
    <row r="6" spans="1:13" hidden="1">
      <c r="A6" s="36">
        <v>5</v>
      </c>
      <c r="B6" s="4" t="s">
        <v>55</v>
      </c>
      <c r="C6" s="37" t="s">
        <v>55</v>
      </c>
      <c r="D6" s="19">
        <v>45663</v>
      </c>
      <c r="E6" s="18" t="s">
        <v>184</v>
      </c>
      <c r="F6" s="7" t="s">
        <v>45</v>
      </c>
      <c r="G6" s="70">
        <v>0.41666666666666669</v>
      </c>
      <c r="H6" s="70">
        <v>0.75</v>
      </c>
      <c r="I6" s="2" t="s">
        <v>36</v>
      </c>
      <c r="J6" s="1" t="s">
        <v>45</v>
      </c>
      <c r="K6" s="10" t="str">
        <f t="shared" si="0"/>
        <v>8.0</v>
      </c>
      <c r="L6" s="69">
        <v>77499</v>
      </c>
      <c r="M6" s="69">
        <v>2222</v>
      </c>
    </row>
    <row r="7" spans="1:13" hidden="1">
      <c r="A7" s="36">
        <v>6</v>
      </c>
      <c r="B7" s="4" t="s">
        <v>55</v>
      </c>
      <c r="C7" s="37" t="s">
        <v>55</v>
      </c>
      <c r="D7" s="19">
        <v>45664</v>
      </c>
      <c r="E7" s="18" t="s">
        <v>174</v>
      </c>
      <c r="F7" s="9" t="s">
        <v>148</v>
      </c>
      <c r="G7" s="70">
        <v>0.54166666666666663</v>
      </c>
      <c r="H7" s="70">
        <v>0.875</v>
      </c>
      <c r="I7" s="9" t="s">
        <v>148</v>
      </c>
      <c r="J7" s="1" t="s">
        <v>36</v>
      </c>
      <c r="K7" s="10" t="str">
        <f>TEXT((VALUE(H7)-VALUE(G7))*24,"0.0")</f>
        <v>8.0</v>
      </c>
      <c r="L7" s="69">
        <v>49840</v>
      </c>
      <c r="M7" s="69">
        <v>1975</v>
      </c>
    </row>
    <row r="8" spans="1:13">
      <c r="A8" s="36">
        <v>7</v>
      </c>
      <c r="B8" s="4" t="s">
        <v>37</v>
      </c>
      <c r="C8" s="37" t="s">
        <v>95</v>
      </c>
      <c r="D8" s="19">
        <v>45666</v>
      </c>
      <c r="E8" s="6" t="s">
        <v>76</v>
      </c>
      <c r="F8" s="9" t="s">
        <v>60</v>
      </c>
      <c r="G8" s="9">
        <v>0.58333333333333337</v>
      </c>
      <c r="H8" s="33">
        <v>0.91666666666666663</v>
      </c>
      <c r="I8" s="22" t="s">
        <v>61</v>
      </c>
      <c r="J8" s="2" t="s">
        <v>68</v>
      </c>
      <c r="K8" s="10" t="str">
        <f t="shared" si="0"/>
        <v>8.0</v>
      </c>
      <c r="L8" s="68">
        <v>137936</v>
      </c>
      <c r="M8" s="8">
        <v>4363</v>
      </c>
    </row>
    <row r="9" spans="1:13" hidden="1">
      <c r="A9" s="4">
        <v>8</v>
      </c>
      <c r="B9" s="4" t="s">
        <v>146</v>
      </c>
      <c r="C9" s="37" t="s">
        <v>146</v>
      </c>
      <c r="D9" s="19">
        <v>45667</v>
      </c>
      <c r="E9" s="6" t="s">
        <v>147</v>
      </c>
      <c r="F9" s="9" t="s">
        <v>148</v>
      </c>
      <c r="G9" s="9">
        <v>0.33333333333333331</v>
      </c>
      <c r="H9" s="33">
        <v>0.66666666666666663</v>
      </c>
      <c r="I9" s="22" t="s">
        <v>149</v>
      </c>
      <c r="J9" s="2" t="s">
        <v>150</v>
      </c>
      <c r="K9" s="10" t="str">
        <f t="shared" si="0"/>
        <v>8.0</v>
      </c>
      <c r="L9" s="41">
        <v>47842</v>
      </c>
      <c r="M9" s="8">
        <v>954</v>
      </c>
    </row>
    <row r="10" spans="1:13" hidden="1">
      <c r="A10" s="36">
        <v>9</v>
      </c>
      <c r="B10" s="4" t="s">
        <v>55</v>
      </c>
      <c r="C10" s="37" t="s">
        <v>55</v>
      </c>
      <c r="D10" s="19">
        <v>45668</v>
      </c>
      <c r="E10" s="18" t="s">
        <v>174</v>
      </c>
      <c r="F10" s="9" t="s">
        <v>148</v>
      </c>
      <c r="G10" s="70">
        <v>0.54166666666666663</v>
      </c>
      <c r="H10" s="70">
        <v>0.875</v>
      </c>
      <c r="I10" s="9" t="s">
        <v>148</v>
      </c>
      <c r="J10" s="1" t="s">
        <v>176</v>
      </c>
      <c r="K10" s="10" t="str">
        <f>TEXT((VALUE(H10)-VALUE(G10))*24,"0.0")</f>
        <v>8.0</v>
      </c>
      <c r="L10" s="69">
        <v>49840</v>
      </c>
      <c r="M10" s="69">
        <v>1975</v>
      </c>
    </row>
    <row r="11" spans="1:13">
      <c r="A11" s="36">
        <v>10</v>
      </c>
      <c r="B11" s="4" t="s">
        <v>55</v>
      </c>
      <c r="C11" s="37" t="s">
        <v>191</v>
      </c>
      <c r="D11" s="19">
        <v>45668</v>
      </c>
      <c r="E11" s="18" t="s">
        <v>192</v>
      </c>
      <c r="F11" s="7" t="s">
        <v>45</v>
      </c>
      <c r="G11" s="70">
        <v>0.41666666666666669</v>
      </c>
      <c r="H11" s="70">
        <v>0.75</v>
      </c>
      <c r="I11" s="7" t="s">
        <v>193</v>
      </c>
      <c r="J11" s="7" t="s">
        <v>45</v>
      </c>
      <c r="K11" s="10" t="str">
        <f>TEXT((VALUE(H11)-VALUE(G11))*24,"0.0")</f>
        <v>8.0</v>
      </c>
      <c r="L11" s="69">
        <v>77499</v>
      </c>
      <c r="M11" s="69">
        <v>2222</v>
      </c>
    </row>
    <row r="12" spans="1:13">
      <c r="A12" s="36">
        <v>11</v>
      </c>
      <c r="B12" s="4" t="s">
        <v>37</v>
      </c>
      <c r="C12" s="37" t="s">
        <v>95</v>
      </c>
      <c r="D12" s="19">
        <v>45669</v>
      </c>
      <c r="E12" s="20" t="s">
        <v>75</v>
      </c>
      <c r="F12" s="7" t="s">
        <v>98</v>
      </c>
      <c r="G12" s="1">
        <v>0.58333333333333337</v>
      </c>
      <c r="H12" s="1">
        <v>0.9375</v>
      </c>
      <c r="I12" s="1" t="s">
        <v>98</v>
      </c>
      <c r="J12" s="2" t="s">
        <v>36</v>
      </c>
      <c r="K12" s="10" t="str">
        <f t="shared" si="0"/>
        <v>8.5</v>
      </c>
      <c r="L12" s="21">
        <v>135500</v>
      </c>
      <c r="M12" s="21">
        <v>5246</v>
      </c>
    </row>
    <row r="13" spans="1:13" hidden="1">
      <c r="A13" s="4">
        <v>12</v>
      </c>
      <c r="B13" s="4" t="s">
        <v>55</v>
      </c>
      <c r="C13" s="37" t="s">
        <v>55</v>
      </c>
      <c r="D13" s="19">
        <v>45672</v>
      </c>
      <c r="E13" s="18" t="s">
        <v>174</v>
      </c>
      <c r="F13" s="9" t="s">
        <v>148</v>
      </c>
      <c r="G13" s="70">
        <v>0.54166666666666663</v>
      </c>
      <c r="H13" s="70">
        <v>0.875</v>
      </c>
      <c r="I13" s="9" t="s">
        <v>148</v>
      </c>
      <c r="J13" s="1" t="s">
        <v>36</v>
      </c>
      <c r="K13" s="10" t="str">
        <f>TEXT((VALUE(H13)-VALUE(G13))*24,"0.0")</f>
        <v>8.0</v>
      </c>
      <c r="L13" s="69">
        <v>49840</v>
      </c>
      <c r="M13" s="69">
        <v>1975</v>
      </c>
    </row>
    <row r="14" spans="1:13" hidden="1">
      <c r="A14" s="36">
        <v>13</v>
      </c>
      <c r="B14" s="4" t="s">
        <v>146</v>
      </c>
      <c r="C14" s="37" t="s">
        <v>146</v>
      </c>
      <c r="D14" s="19">
        <v>45674</v>
      </c>
      <c r="E14" s="6" t="s">
        <v>147</v>
      </c>
      <c r="F14" s="9" t="s">
        <v>148</v>
      </c>
      <c r="G14" s="1">
        <v>0.33333333333333331</v>
      </c>
      <c r="H14" s="33">
        <v>0.66666666666666663</v>
      </c>
      <c r="I14" s="22" t="s">
        <v>149</v>
      </c>
      <c r="J14" s="2" t="s">
        <v>150</v>
      </c>
      <c r="K14" s="10" t="str">
        <f t="shared" si="0"/>
        <v>8.0</v>
      </c>
      <c r="L14" s="8">
        <v>47842</v>
      </c>
      <c r="M14" s="8">
        <v>954</v>
      </c>
    </row>
    <row r="15" spans="1:13" hidden="1">
      <c r="A15" s="36">
        <v>14</v>
      </c>
      <c r="B15" s="4" t="s">
        <v>55</v>
      </c>
      <c r="C15" s="37" t="s">
        <v>55</v>
      </c>
      <c r="D15" s="19">
        <v>45676</v>
      </c>
      <c r="E15" s="18" t="s">
        <v>174</v>
      </c>
      <c r="F15" s="9" t="s">
        <v>148</v>
      </c>
      <c r="G15" s="70">
        <v>0.54166666666666663</v>
      </c>
      <c r="H15" s="70">
        <v>0.875</v>
      </c>
      <c r="I15" s="9" t="s">
        <v>148</v>
      </c>
      <c r="J15" s="9" t="s">
        <v>36</v>
      </c>
      <c r="K15" s="10" t="str">
        <f>TEXT((VALUE(H15)-VALUE(G15))*24,"0.0")</f>
        <v>8.0</v>
      </c>
      <c r="L15" s="69">
        <v>49840</v>
      </c>
      <c r="M15" s="69">
        <v>1975</v>
      </c>
    </row>
    <row r="16" spans="1:13" hidden="1">
      <c r="A16" s="36">
        <v>15</v>
      </c>
      <c r="B16" s="4" t="s">
        <v>55</v>
      </c>
      <c r="C16" s="37" t="s">
        <v>55</v>
      </c>
      <c r="D16" s="19">
        <v>45678</v>
      </c>
      <c r="E16" s="18" t="s">
        <v>184</v>
      </c>
      <c r="F16" s="1" t="s">
        <v>45</v>
      </c>
      <c r="G16" s="9">
        <v>0.41666666666666669</v>
      </c>
      <c r="H16" s="33">
        <v>0.75</v>
      </c>
      <c r="I16" s="1" t="s">
        <v>18</v>
      </c>
      <c r="J16" s="1" t="s">
        <v>45</v>
      </c>
      <c r="K16" s="10" t="str">
        <f t="shared" si="0"/>
        <v>8.0</v>
      </c>
      <c r="L16" s="69">
        <v>77499</v>
      </c>
      <c r="M16" s="69">
        <v>2222</v>
      </c>
    </row>
    <row r="17" spans="1:13">
      <c r="A17" s="4">
        <v>16</v>
      </c>
      <c r="B17" s="4" t="s">
        <v>161</v>
      </c>
      <c r="C17" s="37" t="s">
        <v>161</v>
      </c>
      <c r="D17" s="19">
        <v>45678</v>
      </c>
      <c r="E17" s="25" t="s">
        <v>39</v>
      </c>
      <c r="F17" s="7" t="s">
        <v>98</v>
      </c>
      <c r="G17" s="7">
        <v>0.54166666666666663</v>
      </c>
      <c r="H17" s="1">
        <v>0.875</v>
      </c>
      <c r="I17" s="1" t="s">
        <v>98</v>
      </c>
      <c r="J17" s="2" t="s">
        <v>40</v>
      </c>
      <c r="K17" s="10" t="str">
        <f t="shared" si="0"/>
        <v>8.0</v>
      </c>
      <c r="L17" s="8">
        <v>169379</v>
      </c>
      <c r="M17" s="16">
        <v>5622</v>
      </c>
    </row>
    <row r="18" spans="1:13" hidden="1">
      <c r="A18" s="36">
        <v>17</v>
      </c>
      <c r="B18" s="4" t="s">
        <v>55</v>
      </c>
      <c r="C18" s="37" t="s">
        <v>55</v>
      </c>
      <c r="D18" s="19">
        <v>45680</v>
      </c>
      <c r="E18" s="18" t="s">
        <v>174</v>
      </c>
      <c r="F18" s="9" t="s">
        <v>148</v>
      </c>
      <c r="G18" s="70">
        <v>0.54166666666666663</v>
      </c>
      <c r="H18" s="70">
        <v>0.875</v>
      </c>
      <c r="I18" s="9" t="s">
        <v>148</v>
      </c>
      <c r="J18" s="9" t="s">
        <v>148</v>
      </c>
      <c r="K18" s="10" t="str">
        <f>TEXT((VALUE(H18)-VALUE(G18))*24,"0.0")</f>
        <v>8.0</v>
      </c>
      <c r="L18" s="69">
        <v>49840</v>
      </c>
      <c r="M18" s="69">
        <v>1975</v>
      </c>
    </row>
    <row r="19" spans="1:13">
      <c r="A19" s="36">
        <v>18</v>
      </c>
      <c r="B19" s="4" t="s">
        <v>37</v>
      </c>
      <c r="C19" s="37" t="s">
        <v>37</v>
      </c>
      <c r="D19" s="19">
        <v>45682</v>
      </c>
      <c r="E19" s="20" t="s">
        <v>75</v>
      </c>
      <c r="F19" s="7" t="s">
        <v>98</v>
      </c>
      <c r="G19" s="1">
        <v>0.58333333333333337</v>
      </c>
      <c r="H19" s="1">
        <v>0.9375</v>
      </c>
      <c r="I19" s="1" t="s">
        <v>98</v>
      </c>
      <c r="J19" s="2" t="s">
        <v>40</v>
      </c>
      <c r="K19" s="10" t="str">
        <f t="shared" si="0"/>
        <v>8.5</v>
      </c>
      <c r="L19" s="21">
        <v>135500</v>
      </c>
      <c r="M19" s="21">
        <v>5246</v>
      </c>
    </row>
    <row r="20" spans="1:13" hidden="1">
      <c r="A20" s="36">
        <v>19</v>
      </c>
      <c r="B20" s="4" t="s">
        <v>55</v>
      </c>
      <c r="C20" s="37" t="s">
        <v>55</v>
      </c>
      <c r="D20" s="19">
        <v>45683</v>
      </c>
      <c r="E20" s="18" t="s">
        <v>174</v>
      </c>
      <c r="F20" s="9" t="s">
        <v>148</v>
      </c>
      <c r="G20" s="70">
        <v>0.54166666666666663</v>
      </c>
      <c r="H20" s="70">
        <v>0.875</v>
      </c>
      <c r="I20" s="9" t="s">
        <v>148</v>
      </c>
      <c r="J20" s="1" t="s">
        <v>36</v>
      </c>
      <c r="K20" s="10" t="str">
        <f>TEXT((VALUE(H20)-VALUE(G20))*24,"0.0")</f>
        <v>8.0</v>
      </c>
      <c r="L20" s="69">
        <v>49840</v>
      </c>
      <c r="M20" s="69">
        <v>1975</v>
      </c>
    </row>
    <row r="21" spans="1:13">
      <c r="A21" s="4">
        <v>20</v>
      </c>
      <c r="B21" s="4" t="s">
        <v>37</v>
      </c>
      <c r="C21" s="37" t="s">
        <v>191</v>
      </c>
      <c r="D21" s="19">
        <v>45683</v>
      </c>
      <c r="E21" s="18" t="s">
        <v>184</v>
      </c>
      <c r="F21" s="1" t="s">
        <v>45</v>
      </c>
      <c r="G21" s="70">
        <v>0.41666666666666669</v>
      </c>
      <c r="H21" s="70">
        <v>0.75</v>
      </c>
      <c r="I21" s="9" t="s">
        <v>36</v>
      </c>
      <c r="J21" s="1" t="s">
        <v>45</v>
      </c>
      <c r="K21" s="10" t="str">
        <f>TEXT((VALUE(H21)-VALUE(G21))*24,"0.0")</f>
        <v>8.0</v>
      </c>
      <c r="L21" s="69">
        <v>77499</v>
      </c>
      <c r="M21" s="69">
        <v>2222</v>
      </c>
    </row>
    <row r="22" spans="1:13" hidden="1">
      <c r="A22" s="36">
        <v>21</v>
      </c>
      <c r="B22" s="4" t="s">
        <v>55</v>
      </c>
      <c r="C22" s="37" t="s">
        <v>55</v>
      </c>
      <c r="D22" s="19">
        <v>45687</v>
      </c>
      <c r="E22" s="18" t="s">
        <v>174</v>
      </c>
      <c r="F22" s="9" t="s">
        <v>148</v>
      </c>
      <c r="G22" s="70">
        <v>0.54166666666666663</v>
      </c>
      <c r="H22" s="70">
        <v>0.875</v>
      </c>
      <c r="I22" s="9" t="s">
        <v>148</v>
      </c>
      <c r="J22" s="1" t="s">
        <v>176</v>
      </c>
      <c r="K22" s="10" t="str">
        <f>TEXT((VALUE(H22)-VALUE(G22))*24,"0.0")</f>
        <v>8.0</v>
      </c>
      <c r="L22" s="69">
        <v>49840</v>
      </c>
      <c r="M22" s="69">
        <v>1975</v>
      </c>
    </row>
    <row r="23" spans="1:13" hidden="1">
      <c r="A23" s="36">
        <v>22</v>
      </c>
      <c r="B23" s="4" t="s">
        <v>55</v>
      </c>
      <c r="C23" s="37" t="s">
        <v>55</v>
      </c>
      <c r="D23" s="19">
        <v>45689</v>
      </c>
      <c r="E23" s="6" t="s">
        <v>184</v>
      </c>
      <c r="F23" s="7" t="s">
        <v>45</v>
      </c>
      <c r="G23" s="70">
        <v>0.33333333333333331</v>
      </c>
      <c r="H23" s="70">
        <v>0.66666666666666663</v>
      </c>
      <c r="I23" s="7" t="s">
        <v>193</v>
      </c>
      <c r="J23" s="7" t="s">
        <v>45</v>
      </c>
      <c r="K23" s="10" t="str">
        <f>TEXT((VALUE(H23)-VALUE(G23))*24,"0.0")</f>
        <v>8.0</v>
      </c>
      <c r="L23" s="69">
        <v>77499</v>
      </c>
      <c r="M23" s="69">
        <v>2222</v>
      </c>
    </row>
    <row r="24" spans="1:13" hidden="1">
      <c r="A24" s="36">
        <v>23</v>
      </c>
      <c r="B24" s="4" t="s">
        <v>55</v>
      </c>
      <c r="C24" s="37" t="s">
        <v>55</v>
      </c>
      <c r="D24" s="19">
        <v>45692</v>
      </c>
      <c r="E24" s="18" t="s">
        <v>174</v>
      </c>
      <c r="F24" s="9" t="s">
        <v>148</v>
      </c>
      <c r="G24" s="70">
        <v>0.54166666666666663</v>
      </c>
      <c r="H24" s="70">
        <v>0.875</v>
      </c>
      <c r="I24" s="9" t="s">
        <v>148</v>
      </c>
      <c r="J24" s="1" t="s">
        <v>36</v>
      </c>
      <c r="K24" s="10" t="str">
        <f>TEXT((VALUE(H24)-VALUE(G24))*24,"0.0")</f>
        <v>8.0</v>
      </c>
      <c r="L24" s="69">
        <v>49840</v>
      </c>
      <c r="M24" s="69">
        <v>1975</v>
      </c>
    </row>
    <row r="25" spans="1:13" hidden="1">
      <c r="A25" s="4">
        <v>24</v>
      </c>
      <c r="B25" s="4" t="s">
        <v>55</v>
      </c>
      <c r="C25" s="4" t="s">
        <v>55</v>
      </c>
      <c r="D25" s="19">
        <v>45694</v>
      </c>
      <c r="E25" s="6" t="s">
        <v>184</v>
      </c>
      <c r="F25" s="1" t="s">
        <v>45</v>
      </c>
      <c r="G25" s="9">
        <v>0.41666666666666669</v>
      </c>
      <c r="H25" s="33">
        <v>0.75</v>
      </c>
      <c r="I25" s="22" t="s">
        <v>193</v>
      </c>
      <c r="J25" s="1" t="s">
        <v>45</v>
      </c>
      <c r="K25" s="10" t="str">
        <f t="shared" si="0"/>
        <v>8.0</v>
      </c>
      <c r="L25" s="69">
        <v>77499</v>
      </c>
      <c r="M25" s="69">
        <v>2222</v>
      </c>
    </row>
    <row r="26" spans="1:13">
      <c r="A26" s="36">
        <v>25</v>
      </c>
      <c r="B26" s="4" t="s">
        <v>41</v>
      </c>
      <c r="C26" s="37" t="s">
        <v>95</v>
      </c>
      <c r="D26" s="19">
        <v>45694</v>
      </c>
      <c r="E26" s="6" t="s">
        <v>39</v>
      </c>
      <c r="F26" s="9" t="s">
        <v>98</v>
      </c>
      <c r="G26" s="9">
        <v>0.54166666666666663</v>
      </c>
      <c r="H26" s="33">
        <v>0.875</v>
      </c>
      <c r="I26" s="9" t="s">
        <v>98</v>
      </c>
      <c r="J26" s="2" t="s">
        <v>40</v>
      </c>
      <c r="K26" s="10" t="str">
        <f t="shared" si="0"/>
        <v>8.0</v>
      </c>
      <c r="L26" s="8">
        <v>169379</v>
      </c>
      <c r="M26" s="16">
        <v>5622</v>
      </c>
    </row>
    <row r="27" spans="1:13">
      <c r="A27" s="36">
        <v>26</v>
      </c>
      <c r="B27" s="4" t="s">
        <v>37</v>
      </c>
      <c r="C27" s="37" t="s">
        <v>95</v>
      </c>
      <c r="D27" s="19">
        <v>45695</v>
      </c>
      <c r="E27" s="20" t="s">
        <v>75</v>
      </c>
      <c r="F27" s="7" t="s">
        <v>98</v>
      </c>
      <c r="G27" s="1">
        <v>0.58333333333333337</v>
      </c>
      <c r="H27" s="1">
        <v>0.9375</v>
      </c>
      <c r="I27" s="1" t="s">
        <v>98</v>
      </c>
      <c r="J27" s="2" t="s">
        <v>40</v>
      </c>
      <c r="K27" s="10" t="str">
        <f t="shared" si="0"/>
        <v>8.5</v>
      </c>
      <c r="L27" s="21">
        <v>135500</v>
      </c>
      <c r="M27" s="21">
        <v>5246</v>
      </c>
    </row>
    <row r="28" spans="1:13" hidden="1">
      <c r="A28" s="36">
        <v>27</v>
      </c>
      <c r="B28" s="4" t="s">
        <v>55</v>
      </c>
      <c r="C28" s="37" t="s">
        <v>55</v>
      </c>
      <c r="D28" s="19">
        <v>45696</v>
      </c>
      <c r="E28" s="18" t="s">
        <v>174</v>
      </c>
      <c r="F28" s="9" t="s">
        <v>148</v>
      </c>
      <c r="G28" s="70">
        <v>0.54166666666666663</v>
      </c>
      <c r="H28" s="70">
        <v>0.875</v>
      </c>
      <c r="I28" s="9" t="s">
        <v>148</v>
      </c>
      <c r="J28" s="1" t="s">
        <v>36</v>
      </c>
      <c r="K28" s="10" t="str">
        <f>TEXT((VALUE(H28)-VALUE(G28))*24,"0.0")</f>
        <v>8.0</v>
      </c>
      <c r="L28" s="69">
        <v>49840</v>
      </c>
      <c r="M28" s="69">
        <v>1975</v>
      </c>
    </row>
    <row r="29" spans="1:13" hidden="1">
      <c r="A29" s="4">
        <v>28</v>
      </c>
      <c r="B29" s="4" t="s">
        <v>55</v>
      </c>
      <c r="C29" s="37" t="s">
        <v>55</v>
      </c>
      <c r="D29" s="19">
        <v>45699</v>
      </c>
      <c r="E29" s="6" t="s">
        <v>184</v>
      </c>
      <c r="F29" s="7" t="s">
        <v>45</v>
      </c>
      <c r="G29" s="70">
        <v>0.41666666666666669</v>
      </c>
      <c r="H29" s="70">
        <v>0.75</v>
      </c>
      <c r="I29" s="9" t="s">
        <v>36</v>
      </c>
      <c r="J29" s="7" t="s">
        <v>45</v>
      </c>
      <c r="K29" s="10" t="str">
        <f>TEXT((VALUE(H29)-VALUE(G29))*24,"0.0")</f>
        <v>8.0</v>
      </c>
      <c r="L29" s="69">
        <v>77499</v>
      </c>
      <c r="M29" s="69">
        <v>2222</v>
      </c>
    </row>
    <row r="30" spans="1:13" ht="15.75" customHeight="1">
      <c r="A30" s="36">
        <v>29</v>
      </c>
      <c r="B30" s="4" t="s">
        <v>37</v>
      </c>
      <c r="C30" s="37" t="s">
        <v>95</v>
      </c>
      <c r="D30" s="19">
        <v>45699</v>
      </c>
      <c r="E30" s="20" t="s">
        <v>75</v>
      </c>
      <c r="F30" s="7" t="s">
        <v>98</v>
      </c>
      <c r="G30" s="1">
        <v>0.58333333333333337</v>
      </c>
      <c r="H30" s="1">
        <v>0.9375</v>
      </c>
      <c r="I30" s="1" t="s">
        <v>98</v>
      </c>
      <c r="J30" s="2" t="s">
        <v>36</v>
      </c>
      <c r="K30" s="10" t="str">
        <f t="shared" si="0"/>
        <v>8.5</v>
      </c>
      <c r="L30" s="21">
        <v>135500</v>
      </c>
      <c r="M30" s="21">
        <v>5246</v>
      </c>
    </row>
    <row r="31" spans="1:13" ht="15.75" hidden="1" customHeight="1">
      <c r="A31" s="36">
        <v>30</v>
      </c>
      <c r="B31" s="4" t="s">
        <v>55</v>
      </c>
      <c r="C31" s="37" t="s">
        <v>55</v>
      </c>
      <c r="D31" s="19">
        <v>45700</v>
      </c>
      <c r="E31" s="18" t="s">
        <v>174</v>
      </c>
      <c r="F31" s="9" t="s">
        <v>148</v>
      </c>
      <c r="G31" s="70">
        <v>0.54166666666666663</v>
      </c>
      <c r="H31" s="70">
        <v>0.875</v>
      </c>
      <c r="I31" s="9" t="s">
        <v>148</v>
      </c>
      <c r="J31" s="2" t="s">
        <v>29</v>
      </c>
      <c r="K31" s="10" t="str">
        <f>TEXT((VALUE(H31)-VALUE(G31))*24,"0.0")</f>
        <v>8.0</v>
      </c>
      <c r="L31" s="69">
        <v>49840</v>
      </c>
      <c r="M31" s="69">
        <v>1975</v>
      </c>
    </row>
    <row r="32" spans="1:13" ht="15.75" hidden="1" customHeight="1">
      <c r="A32" s="36">
        <v>31</v>
      </c>
      <c r="B32" s="4" t="s">
        <v>55</v>
      </c>
      <c r="C32" s="37" t="s">
        <v>55</v>
      </c>
      <c r="D32" s="19">
        <v>45703</v>
      </c>
      <c r="E32" s="6" t="s">
        <v>184</v>
      </c>
      <c r="F32" s="7" t="s">
        <v>45</v>
      </c>
      <c r="G32" s="70">
        <v>0.33333333333333331</v>
      </c>
      <c r="H32" s="70">
        <v>0.66666666666666663</v>
      </c>
      <c r="I32" s="9" t="s">
        <v>45</v>
      </c>
      <c r="J32" s="2" t="s">
        <v>45</v>
      </c>
      <c r="K32" s="10" t="str">
        <f>TEXT((VALUE(H32)-VALUE(G32))*24,"0.0")</f>
        <v>8.0</v>
      </c>
      <c r="L32" s="69">
        <v>77499</v>
      </c>
      <c r="M32" s="69">
        <v>2222</v>
      </c>
    </row>
    <row r="33" spans="1:13">
      <c r="A33" s="4">
        <v>32</v>
      </c>
      <c r="B33" s="4" t="s">
        <v>37</v>
      </c>
      <c r="C33" s="37" t="s">
        <v>95</v>
      </c>
      <c r="D33" s="19">
        <v>45705</v>
      </c>
      <c r="E33" s="6" t="s">
        <v>82</v>
      </c>
      <c r="F33" s="7" t="s">
        <v>98</v>
      </c>
      <c r="G33" s="1">
        <v>0.54166666666666663</v>
      </c>
      <c r="H33" s="33">
        <v>0.875</v>
      </c>
      <c r="I33" s="1" t="s">
        <v>98</v>
      </c>
      <c r="J33" s="2" t="s">
        <v>29</v>
      </c>
      <c r="K33" s="10" t="str">
        <f t="shared" si="0"/>
        <v>8.0</v>
      </c>
      <c r="L33" s="8">
        <v>171598</v>
      </c>
      <c r="M33" s="8">
        <v>5654</v>
      </c>
    </row>
    <row r="34" spans="1:13" hidden="1">
      <c r="A34" s="36">
        <v>33</v>
      </c>
      <c r="B34" s="4" t="s">
        <v>55</v>
      </c>
      <c r="C34" s="37" t="s">
        <v>96</v>
      </c>
      <c r="D34" s="19">
        <v>45706</v>
      </c>
      <c r="E34" s="6" t="s">
        <v>35</v>
      </c>
      <c r="F34" s="9" t="s">
        <v>20</v>
      </c>
      <c r="G34" s="9">
        <v>0.33333333333333331</v>
      </c>
      <c r="H34" s="35">
        <v>0.83333333333333337</v>
      </c>
      <c r="I34" s="22" t="s">
        <v>57</v>
      </c>
      <c r="J34" s="2" t="s">
        <v>36</v>
      </c>
      <c r="K34" s="10" t="str">
        <f t="shared" si="0"/>
        <v>12.0</v>
      </c>
      <c r="L34" s="8">
        <v>51044</v>
      </c>
      <c r="M34" s="8">
        <v>606</v>
      </c>
    </row>
    <row r="35" spans="1:13">
      <c r="A35" s="36">
        <v>34</v>
      </c>
      <c r="B35" s="4" t="s">
        <v>37</v>
      </c>
      <c r="C35" s="37" t="s">
        <v>95</v>
      </c>
      <c r="D35" s="19">
        <v>45707</v>
      </c>
      <c r="E35" s="20" t="s">
        <v>75</v>
      </c>
      <c r="F35" s="7" t="s">
        <v>98</v>
      </c>
      <c r="G35" s="1">
        <v>0.58333333333333337</v>
      </c>
      <c r="H35" s="1">
        <v>0.9375</v>
      </c>
      <c r="I35" s="1" t="s">
        <v>98</v>
      </c>
      <c r="J35" s="2" t="s">
        <v>36</v>
      </c>
      <c r="K35" s="10" t="str">
        <f t="shared" si="0"/>
        <v>8.5</v>
      </c>
      <c r="L35" s="21">
        <v>135500</v>
      </c>
      <c r="M35" s="21">
        <v>5246</v>
      </c>
    </row>
    <row r="36" spans="1:13">
      <c r="A36" s="36">
        <v>35</v>
      </c>
      <c r="B36" s="4" t="s">
        <v>37</v>
      </c>
      <c r="C36" s="37" t="s">
        <v>191</v>
      </c>
      <c r="D36" s="19">
        <v>45708</v>
      </c>
      <c r="E36" s="25" t="s">
        <v>192</v>
      </c>
      <c r="F36" s="7" t="s">
        <v>45</v>
      </c>
      <c r="G36" s="7">
        <v>0.41666666666666669</v>
      </c>
      <c r="H36" s="1">
        <v>0.75</v>
      </c>
      <c r="I36" s="1" t="s">
        <v>193</v>
      </c>
      <c r="J36" s="2" t="s">
        <v>45</v>
      </c>
      <c r="K36" s="10" t="str">
        <f t="shared" si="0"/>
        <v>8.0</v>
      </c>
      <c r="L36" s="69">
        <v>77499</v>
      </c>
      <c r="M36" s="69">
        <v>2222</v>
      </c>
    </row>
    <row r="37" spans="1:13" hidden="1">
      <c r="A37" s="4">
        <v>36</v>
      </c>
      <c r="B37" s="4" t="s">
        <v>55</v>
      </c>
      <c r="C37" s="37" t="s">
        <v>96</v>
      </c>
      <c r="D37" s="19">
        <v>45712</v>
      </c>
      <c r="E37" s="6" t="s">
        <v>32</v>
      </c>
      <c r="F37" s="9" t="s">
        <v>20</v>
      </c>
      <c r="G37" s="9">
        <v>0.375</v>
      </c>
      <c r="H37" s="34">
        <v>1</v>
      </c>
      <c r="I37" s="22" t="s">
        <v>33</v>
      </c>
      <c r="J37" s="2"/>
      <c r="K37" s="10" t="str">
        <f t="shared" si="0"/>
        <v>15.0</v>
      </c>
      <c r="L37" s="8">
        <v>22472</v>
      </c>
      <c r="M37" s="8">
        <v>607</v>
      </c>
    </row>
    <row r="38" spans="1:13" ht="17.25" hidden="1" customHeight="1">
      <c r="A38" s="4"/>
      <c r="B38" s="4" t="s">
        <v>55</v>
      </c>
      <c r="C38" s="37" t="s">
        <v>96</v>
      </c>
      <c r="D38" s="19">
        <v>45713</v>
      </c>
      <c r="E38" s="20"/>
      <c r="F38" s="1" t="s">
        <v>20</v>
      </c>
      <c r="G38" s="1"/>
      <c r="H38" s="1">
        <v>0.70833333333333337</v>
      </c>
      <c r="I38" s="22"/>
      <c r="J38" s="2" t="s">
        <v>33</v>
      </c>
      <c r="K38" s="10" t="str">
        <f t="shared" si="0"/>
        <v>17.0</v>
      </c>
      <c r="L38" s="23">
        <v>22472</v>
      </c>
      <c r="M38" s="21">
        <v>607</v>
      </c>
    </row>
    <row r="39" spans="1:13" ht="17.25" customHeight="1">
      <c r="A39" s="4">
        <v>37</v>
      </c>
      <c r="B39" s="4" t="s">
        <v>37</v>
      </c>
      <c r="C39" s="37" t="s">
        <v>191</v>
      </c>
      <c r="D39" s="19">
        <v>45713</v>
      </c>
      <c r="E39" s="25" t="s">
        <v>192</v>
      </c>
      <c r="F39" s="7" t="s">
        <v>45</v>
      </c>
      <c r="G39" s="7">
        <v>0.41666666666666669</v>
      </c>
      <c r="H39" s="1">
        <v>0.75</v>
      </c>
      <c r="I39" s="30" t="s">
        <v>36</v>
      </c>
      <c r="J39" s="2" t="s">
        <v>45</v>
      </c>
      <c r="K39" s="10" t="str">
        <f t="shared" si="0"/>
        <v>8.0</v>
      </c>
      <c r="L39" s="69">
        <v>77499</v>
      </c>
      <c r="M39" s="69">
        <v>2222</v>
      </c>
    </row>
    <row r="40" spans="1:13" ht="17.25" hidden="1" customHeight="1">
      <c r="A40" s="36">
        <v>38</v>
      </c>
      <c r="B40" s="4" t="s">
        <v>55</v>
      </c>
      <c r="C40" s="37" t="s">
        <v>55</v>
      </c>
      <c r="D40" s="19">
        <v>45716</v>
      </c>
      <c r="E40" s="18" t="s">
        <v>174</v>
      </c>
      <c r="F40" s="9" t="s">
        <v>148</v>
      </c>
      <c r="G40" s="70">
        <v>0.54166666666666663</v>
      </c>
      <c r="H40" s="70">
        <v>0.875</v>
      </c>
      <c r="I40" s="9" t="s">
        <v>148</v>
      </c>
      <c r="J40" s="1" t="s">
        <v>36</v>
      </c>
      <c r="K40" s="10" t="str">
        <f>TEXT((VALUE(H40)-VALUE(G40))*24,"0.0")</f>
        <v>8.0</v>
      </c>
      <c r="L40" s="69">
        <v>49840</v>
      </c>
      <c r="M40" s="69">
        <v>1975</v>
      </c>
    </row>
    <row r="41" spans="1:13" ht="17.25" hidden="1" customHeight="1">
      <c r="A41" s="36">
        <v>39</v>
      </c>
      <c r="B41" s="4" t="s">
        <v>55</v>
      </c>
      <c r="C41" s="37" t="s">
        <v>55</v>
      </c>
      <c r="D41" s="19">
        <v>45718</v>
      </c>
      <c r="E41" s="6" t="s">
        <v>184</v>
      </c>
      <c r="F41" s="1" t="s">
        <v>45</v>
      </c>
      <c r="G41" s="9">
        <v>0.41666666666666669</v>
      </c>
      <c r="H41" s="33">
        <v>0.75</v>
      </c>
      <c r="I41" s="22" t="s">
        <v>36</v>
      </c>
      <c r="J41" s="7" t="s">
        <v>45</v>
      </c>
      <c r="K41" s="10" t="str">
        <f t="shared" si="0"/>
        <v>8.0</v>
      </c>
      <c r="L41" s="69">
        <v>77499</v>
      </c>
      <c r="M41" s="69">
        <v>2222</v>
      </c>
    </row>
    <row r="42" spans="1:13">
      <c r="A42" s="4">
        <v>40</v>
      </c>
      <c r="B42" s="4" t="s">
        <v>37</v>
      </c>
      <c r="C42" s="37" t="s">
        <v>95</v>
      </c>
      <c r="D42" s="19">
        <v>45717</v>
      </c>
      <c r="E42" s="6" t="s">
        <v>82</v>
      </c>
      <c r="F42" s="7" t="s">
        <v>98</v>
      </c>
      <c r="G42" s="1">
        <v>0.54166666666666663</v>
      </c>
      <c r="H42" s="33">
        <v>0.875</v>
      </c>
      <c r="I42" s="1" t="s">
        <v>98</v>
      </c>
      <c r="J42" s="2" t="s">
        <v>36</v>
      </c>
      <c r="K42" s="10" t="str">
        <f t="shared" si="0"/>
        <v>8.0</v>
      </c>
      <c r="L42" s="8">
        <v>171598</v>
      </c>
      <c r="M42" s="8">
        <v>5654</v>
      </c>
    </row>
    <row r="43" spans="1:13">
      <c r="A43" s="4">
        <v>41</v>
      </c>
      <c r="B43" s="4" t="s">
        <v>37</v>
      </c>
      <c r="C43" s="37" t="s">
        <v>161</v>
      </c>
      <c r="D43" s="19">
        <v>45719</v>
      </c>
      <c r="E43" s="25" t="s">
        <v>76</v>
      </c>
      <c r="F43" s="7" t="s">
        <v>68</v>
      </c>
      <c r="G43" s="7">
        <v>0.58333333333333337</v>
      </c>
      <c r="H43" s="1">
        <v>0.875</v>
      </c>
      <c r="I43" s="1" t="s">
        <v>61</v>
      </c>
      <c r="J43" s="2" t="s">
        <v>68</v>
      </c>
      <c r="K43" s="10" t="str">
        <f t="shared" si="0"/>
        <v>7.0</v>
      </c>
      <c r="L43" s="68">
        <v>137936</v>
      </c>
      <c r="M43" s="8">
        <v>4363</v>
      </c>
    </row>
    <row r="44" spans="1:13" hidden="1">
      <c r="A44" s="36">
        <v>42</v>
      </c>
      <c r="B44" s="4" t="s">
        <v>55</v>
      </c>
      <c r="C44" s="37" t="s">
        <v>55</v>
      </c>
      <c r="D44" s="19">
        <v>45720</v>
      </c>
      <c r="E44" s="18" t="s">
        <v>174</v>
      </c>
      <c r="F44" s="9" t="s">
        <v>148</v>
      </c>
      <c r="G44" s="70">
        <v>0.54166666666666663</v>
      </c>
      <c r="H44" s="70">
        <v>0.875</v>
      </c>
      <c r="I44" s="9" t="s">
        <v>148</v>
      </c>
      <c r="J44" s="1" t="s">
        <v>36</v>
      </c>
      <c r="K44" s="10" t="str">
        <f>TEXT((VALUE(H44)-VALUE(G44))*24,"0.0")</f>
        <v>8.0</v>
      </c>
      <c r="L44" s="69">
        <v>49840</v>
      </c>
      <c r="M44" s="69">
        <v>1975</v>
      </c>
    </row>
    <row r="45" spans="1:13">
      <c r="A45" s="36">
        <v>43</v>
      </c>
      <c r="B45" s="4" t="s">
        <v>48</v>
      </c>
      <c r="C45" s="37" t="s">
        <v>95</v>
      </c>
      <c r="D45" s="19">
        <v>45722</v>
      </c>
      <c r="E45" s="26" t="s">
        <v>39</v>
      </c>
      <c r="F45" s="27" t="s">
        <v>98</v>
      </c>
      <c r="G45" s="27">
        <v>0.54166666666666663</v>
      </c>
      <c r="H45" s="1">
        <v>0.875</v>
      </c>
      <c r="I45" s="22" t="s">
        <v>98</v>
      </c>
      <c r="J45" s="2" t="s">
        <v>40</v>
      </c>
      <c r="K45" s="10" t="str">
        <f t="shared" ref="K45:K51" si="1">TEXT((VALUE(H45)-VALUE(G45))*24,"0.0")</f>
        <v>8.0</v>
      </c>
      <c r="L45" s="28">
        <v>169379</v>
      </c>
      <c r="M45" s="16">
        <v>5622</v>
      </c>
    </row>
    <row r="46" spans="1:13">
      <c r="A46" s="4">
        <v>44</v>
      </c>
      <c r="B46" s="4" t="s">
        <v>37</v>
      </c>
      <c r="C46" s="37" t="s">
        <v>95</v>
      </c>
      <c r="D46" s="19">
        <v>45723</v>
      </c>
      <c r="E46" s="20" t="s">
        <v>75</v>
      </c>
      <c r="F46" s="7" t="s">
        <v>98</v>
      </c>
      <c r="G46" s="1">
        <v>0.58333333333333337</v>
      </c>
      <c r="H46" s="1">
        <v>0.9375</v>
      </c>
      <c r="I46" s="1" t="s">
        <v>98</v>
      </c>
      <c r="J46" s="2" t="s">
        <v>40</v>
      </c>
      <c r="K46" s="10" t="str">
        <f t="shared" si="1"/>
        <v>8.5</v>
      </c>
      <c r="L46" s="21">
        <v>135500</v>
      </c>
      <c r="M46" s="21">
        <v>5246</v>
      </c>
    </row>
    <row r="47" spans="1:13" hidden="1">
      <c r="A47" s="4">
        <v>45</v>
      </c>
      <c r="B47" s="4" t="s">
        <v>55</v>
      </c>
      <c r="C47" s="37" t="s">
        <v>96</v>
      </c>
      <c r="D47" s="19">
        <v>45723</v>
      </c>
      <c r="E47" s="25" t="s">
        <v>184</v>
      </c>
      <c r="F47" s="7" t="s">
        <v>45</v>
      </c>
      <c r="G47" s="1">
        <v>0.41666666666666669</v>
      </c>
      <c r="H47" s="1">
        <v>0.75</v>
      </c>
      <c r="I47" s="1" t="s">
        <v>36</v>
      </c>
      <c r="J47" s="7" t="s">
        <v>45</v>
      </c>
      <c r="K47" s="10" t="str">
        <f t="shared" si="1"/>
        <v>8.0</v>
      </c>
      <c r="L47" s="24">
        <v>77499</v>
      </c>
      <c r="M47" s="24">
        <v>2222</v>
      </c>
    </row>
    <row r="48" spans="1:13" hidden="1">
      <c r="A48" s="36">
        <v>46</v>
      </c>
      <c r="B48" s="4" t="s">
        <v>55</v>
      </c>
      <c r="C48" s="37" t="s">
        <v>55</v>
      </c>
      <c r="D48" s="19">
        <v>45724</v>
      </c>
      <c r="E48" s="18" t="s">
        <v>174</v>
      </c>
      <c r="F48" s="9" t="s">
        <v>148</v>
      </c>
      <c r="G48" s="70">
        <v>0.54166666666666663</v>
      </c>
      <c r="H48" s="70">
        <v>0.875</v>
      </c>
      <c r="I48" s="9" t="s">
        <v>148</v>
      </c>
      <c r="J48" s="1" t="s">
        <v>176</v>
      </c>
      <c r="K48" s="10" t="str">
        <f t="shared" si="1"/>
        <v>8.0</v>
      </c>
      <c r="L48" s="69">
        <v>49840</v>
      </c>
      <c r="M48" s="69">
        <v>1975</v>
      </c>
    </row>
    <row r="49" spans="1:13" hidden="1">
      <c r="A49" s="36">
        <v>47</v>
      </c>
      <c r="B49" s="4" t="s">
        <v>55</v>
      </c>
      <c r="C49" s="37" t="s">
        <v>55</v>
      </c>
      <c r="D49" s="19">
        <v>45726</v>
      </c>
      <c r="E49" s="18" t="s">
        <v>122</v>
      </c>
      <c r="F49" s="9" t="s">
        <v>20</v>
      </c>
      <c r="G49" s="70">
        <v>0.29166666666666669</v>
      </c>
      <c r="H49" s="70">
        <v>0.75</v>
      </c>
      <c r="I49" s="9" t="s">
        <v>165</v>
      </c>
      <c r="J49" s="1" t="s">
        <v>185</v>
      </c>
      <c r="K49" s="10" t="str">
        <f t="shared" si="1"/>
        <v>11.0</v>
      </c>
      <c r="L49" s="8">
        <v>47842</v>
      </c>
      <c r="M49" s="8">
        <v>954</v>
      </c>
    </row>
    <row r="50" spans="1:13">
      <c r="A50" s="4">
        <v>48</v>
      </c>
      <c r="B50" s="4" t="s">
        <v>37</v>
      </c>
      <c r="C50" s="37" t="s">
        <v>95</v>
      </c>
      <c r="D50" s="19">
        <v>45727</v>
      </c>
      <c r="E50" s="20" t="s">
        <v>75</v>
      </c>
      <c r="F50" s="7" t="s">
        <v>98</v>
      </c>
      <c r="G50" s="1">
        <v>0.58333333333333337</v>
      </c>
      <c r="H50" s="1">
        <v>0.9375</v>
      </c>
      <c r="I50" s="1" t="s">
        <v>98</v>
      </c>
      <c r="J50" s="2" t="s">
        <v>36</v>
      </c>
      <c r="K50" s="10" t="str">
        <f t="shared" si="1"/>
        <v>8.5</v>
      </c>
      <c r="L50" s="21">
        <v>135500</v>
      </c>
      <c r="M50" s="21">
        <v>5246</v>
      </c>
    </row>
    <row r="51" spans="1:13" ht="18" thickBot="1">
      <c r="A51" s="4">
        <v>49</v>
      </c>
      <c r="B51" s="73" t="s">
        <v>161</v>
      </c>
      <c r="C51" s="74" t="s">
        <v>161</v>
      </c>
      <c r="D51" s="75">
        <v>45727</v>
      </c>
      <c r="E51" s="76" t="s">
        <v>76</v>
      </c>
      <c r="F51" s="77" t="s">
        <v>68</v>
      </c>
      <c r="G51" s="77">
        <v>0.45833333333333331</v>
      </c>
      <c r="H51" s="78">
        <v>0.91666666666666663</v>
      </c>
      <c r="I51" s="77" t="s">
        <v>68</v>
      </c>
      <c r="J51" s="79" t="s">
        <v>45</v>
      </c>
      <c r="K51" s="80" t="str">
        <f t="shared" si="1"/>
        <v>11.0</v>
      </c>
      <c r="L51" s="81">
        <v>137936</v>
      </c>
      <c r="M51" s="82">
        <v>4363</v>
      </c>
    </row>
    <row r="52" spans="1:13">
      <c r="A52" s="36">
        <v>50</v>
      </c>
      <c r="B52" s="85" t="s">
        <v>55</v>
      </c>
      <c r="C52" s="86" t="s">
        <v>37</v>
      </c>
      <c r="D52" s="87">
        <v>45728</v>
      </c>
      <c r="E52" s="88" t="s">
        <v>0</v>
      </c>
      <c r="F52" s="89" t="s">
        <v>92</v>
      </c>
      <c r="G52" s="89">
        <v>0.29166666666666669</v>
      </c>
      <c r="H52" s="90">
        <v>0.625</v>
      </c>
      <c r="I52" s="91" t="s">
        <v>29</v>
      </c>
      <c r="J52" s="92" t="s">
        <v>54</v>
      </c>
      <c r="K52" s="93" t="str">
        <f>TEXT((VALUE(H52)-VALUE(G52))*24,"0.0")</f>
        <v>8.0</v>
      </c>
      <c r="L52" s="94">
        <v>77104</v>
      </c>
      <c r="M52" s="95">
        <v>2405</v>
      </c>
    </row>
    <row r="53" spans="1:13" hidden="1">
      <c r="A53" s="36">
        <v>51</v>
      </c>
      <c r="B53" s="96" t="s">
        <v>55</v>
      </c>
      <c r="C53" s="97" t="s">
        <v>55</v>
      </c>
      <c r="D53" s="98">
        <v>45728</v>
      </c>
      <c r="E53" s="99" t="s">
        <v>15</v>
      </c>
      <c r="F53" s="100" t="s">
        <v>65</v>
      </c>
      <c r="G53" s="101">
        <v>0.25</v>
      </c>
      <c r="H53" s="102">
        <v>0.58333333333333337</v>
      </c>
      <c r="I53" s="103" t="s">
        <v>13</v>
      </c>
      <c r="J53" s="104" t="s">
        <v>54</v>
      </c>
      <c r="K53" s="105" t="str">
        <f>TEXT((VALUE(H53)-VALUE(G53))*24,"0.0")</f>
        <v>8.0</v>
      </c>
      <c r="L53" s="106">
        <v>75904</v>
      </c>
      <c r="M53" s="107">
        <v>2018</v>
      </c>
    </row>
    <row r="54" spans="1:13">
      <c r="A54" s="4">
        <v>52</v>
      </c>
      <c r="B54" s="96" t="s">
        <v>85</v>
      </c>
      <c r="C54" s="97" t="s">
        <v>37</v>
      </c>
      <c r="D54" s="98">
        <v>45728</v>
      </c>
      <c r="E54" s="99" t="s">
        <v>184</v>
      </c>
      <c r="F54" s="108" t="s">
        <v>45</v>
      </c>
      <c r="G54" s="109">
        <v>0.41666666666666669</v>
      </c>
      <c r="H54" s="109">
        <v>0.75</v>
      </c>
      <c r="I54" s="103" t="s">
        <v>29</v>
      </c>
      <c r="J54" s="108" t="s">
        <v>45</v>
      </c>
      <c r="K54" s="105" t="str">
        <f>TEXT((VALUE(H54)-VALUE(G54))*24,"0.0")</f>
        <v>8.0</v>
      </c>
      <c r="L54" s="110">
        <v>77499</v>
      </c>
      <c r="M54" s="111">
        <v>2222</v>
      </c>
    </row>
    <row r="55" spans="1:13">
      <c r="A55" s="4">
        <v>53</v>
      </c>
      <c r="B55" s="43" t="s">
        <v>55</v>
      </c>
      <c r="C55" s="26" t="s">
        <v>97</v>
      </c>
      <c r="D55" s="83">
        <v>45730</v>
      </c>
      <c r="E55" s="6" t="s">
        <v>0</v>
      </c>
      <c r="F55" s="7" t="s">
        <v>92</v>
      </c>
      <c r="G55" s="7">
        <v>0.5</v>
      </c>
      <c r="H55" s="7">
        <v>0.875</v>
      </c>
      <c r="I55" s="25" t="s">
        <v>65</v>
      </c>
      <c r="J55" s="42" t="s">
        <v>14</v>
      </c>
      <c r="K55" s="84" t="str">
        <f t="shared" ref="K55:K130" si="2">TEXT((VALUE(H55)-VALUE(G55))*24,"0.0")</f>
        <v>9.0</v>
      </c>
      <c r="L55" s="24">
        <v>77104</v>
      </c>
      <c r="M55" s="24">
        <v>2405</v>
      </c>
    </row>
    <row r="56" spans="1:13" hidden="1">
      <c r="A56" s="36">
        <v>54</v>
      </c>
      <c r="B56" s="4" t="s">
        <v>85</v>
      </c>
      <c r="C56" s="37" t="s">
        <v>55</v>
      </c>
      <c r="D56" s="19">
        <v>45730</v>
      </c>
      <c r="E56" s="6" t="s">
        <v>15</v>
      </c>
      <c r="F56" s="20" t="s">
        <v>65</v>
      </c>
      <c r="G56" s="7">
        <v>0.5</v>
      </c>
      <c r="H56" s="1">
        <v>0.875</v>
      </c>
      <c r="I56" s="20" t="s">
        <v>65</v>
      </c>
      <c r="J56" s="2" t="s">
        <v>14</v>
      </c>
      <c r="K56" s="10" t="str">
        <f t="shared" si="2"/>
        <v>9.0</v>
      </c>
      <c r="L56" s="24">
        <v>75904</v>
      </c>
      <c r="M56" s="8">
        <v>2018</v>
      </c>
    </row>
    <row r="57" spans="1:13" hidden="1">
      <c r="A57" s="36">
        <v>55</v>
      </c>
      <c r="B57" s="4" t="s">
        <v>55</v>
      </c>
      <c r="C57" s="37" t="s">
        <v>96</v>
      </c>
      <c r="D57" s="19">
        <v>45732</v>
      </c>
      <c r="E57" s="20" t="s">
        <v>51</v>
      </c>
      <c r="F57" s="1" t="s">
        <v>52</v>
      </c>
      <c r="G57" s="1">
        <v>0.375</v>
      </c>
      <c r="H57" s="1">
        <v>0.75</v>
      </c>
      <c r="I57" s="22" t="s">
        <v>53</v>
      </c>
      <c r="J57" s="2" t="s">
        <v>54</v>
      </c>
      <c r="K57" s="10" t="str">
        <f t="shared" si="2"/>
        <v>9.0</v>
      </c>
      <c r="L57" s="23">
        <v>40791</v>
      </c>
      <c r="M57" s="24">
        <v>623</v>
      </c>
    </row>
    <row r="58" spans="1:13">
      <c r="A58" s="4">
        <v>56</v>
      </c>
      <c r="B58" s="4" t="s">
        <v>55</v>
      </c>
      <c r="C58" s="37" t="s">
        <v>37</v>
      </c>
      <c r="D58" s="19">
        <v>45732</v>
      </c>
      <c r="E58" s="18" t="s">
        <v>174</v>
      </c>
      <c r="F58" s="9" t="s">
        <v>148</v>
      </c>
      <c r="G58" s="70">
        <v>0.54166666666666663</v>
      </c>
      <c r="H58" s="70">
        <v>0.875</v>
      </c>
      <c r="I58" s="9" t="s">
        <v>148</v>
      </c>
      <c r="J58" s="1" t="s">
        <v>36</v>
      </c>
      <c r="K58" s="10" t="str">
        <f t="shared" si="2"/>
        <v>8.0</v>
      </c>
      <c r="L58" s="69">
        <v>49840</v>
      </c>
      <c r="M58" s="69">
        <v>1975</v>
      </c>
    </row>
    <row r="59" spans="1:13">
      <c r="A59" s="4">
        <v>57</v>
      </c>
      <c r="B59" s="4" t="s">
        <v>37</v>
      </c>
      <c r="C59" s="37" t="s">
        <v>95</v>
      </c>
      <c r="D59" s="19">
        <v>45733</v>
      </c>
      <c r="E59" s="26" t="s">
        <v>39</v>
      </c>
      <c r="F59" s="27" t="s">
        <v>98</v>
      </c>
      <c r="G59" s="27">
        <v>0.54166666666666663</v>
      </c>
      <c r="H59" s="1">
        <v>0.875</v>
      </c>
      <c r="I59" s="27" t="s">
        <v>98</v>
      </c>
      <c r="J59" s="2" t="s">
        <v>36</v>
      </c>
      <c r="K59" s="10" t="str">
        <f t="shared" si="2"/>
        <v>8.0</v>
      </c>
      <c r="L59" s="28">
        <v>169379</v>
      </c>
      <c r="M59" s="16">
        <v>5622</v>
      </c>
    </row>
    <row r="60" spans="1:13" hidden="1">
      <c r="A60" s="36">
        <v>58</v>
      </c>
      <c r="B60" s="4" t="s">
        <v>85</v>
      </c>
      <c r="C60" s="37" t="s">
        <v>96</v>
      </c>
      <c r="D60" s="19">
        <v>45733</v>
      </c>
      <c r="E60" s="6" t="s">
        <v>184</v>
      </c>
      <c r="F60" s="7" t="s">
        <v>45</v>
      </c>
      <c r="G60" s="1">
        <v>0.41666666666666669</v>
      </c>
      <c r="H60" s="1">
        <v>0.75</v>
      </c>
      <c r="I60" s="27" t="s">
        <v>13</v>
      </c>
      <c r="J60" s="7" t="s">
        <v>45</v>
      </c>
      <c r="K60" s="10" t="str">
        <f t="shared" si="2"/>
        <v>8.0</v>
      </c>
      <c r="L60" s="24">
        <v>77499</v>
      </c>
      <c r="M60" s="24">
        <v>2222</v>
      </c>
    </row>
    <row r="61" spans="1:13" hidden="1">
      <c r="A61" s="36">
        <v>59</v>
      </c>
      <c r="B61" s="4" t="s">
        <v>55</v>
      </c>
      <c r="C61" s="37" t="s">
        <v>96</v>
      </c>
      <c r="D61" s="19">
        <v>45734</v>
      </c>
      <c r="E61" s="26" t="s">
        <v>56</v>
      </c>
      <c r="F61" s="27" t="s">
        <v>60</v>
      </c>
      <c r="G61" s="9">
        <v>0.33333333333333331</v>
      </c>
      <c r="H61" s="33">
        <v>0.66666666666666663</v>
      </c>
      <c r="I61" s="22" t="s">
        <v>57</v>
      </c>
      <c r="J61" s="2" t="s">
        <v>54</v>
      </c>
      <c r="K61" s="10" t="str">
        <f t="shared" si="2"/>
        <v>8.0</v>
      </c>
      <c r="L61" s="28">
        <v>42830</v>
      </c>
      <c r="M61" s="16">
        <v>516</v>
      </c>
    </row>
    <row r="62" spans="1:13">
      <c r="A62" s="4">
        <v>60</v>
      </c>
      <c r="B62" s="4" t="s">
        <v>170</v>
      </c>
      <c r="C62" s="37" t="s">
        <v>170</v>
      </c>
      <c r="D62" s="19">
        <v>45734</v>
      </c>
      <c r="E62" s="26" t="s">
        <v>171</v>
      </c>
      <c r="F62" s="27" t="s">
        <v>63</v>
      </c>
      <c r="G62" s="9">
        <v>0.41666666666666669</v>
      </c>
      <c r="H62" s="33">
        <v>0.91666666666666663</v>
      </c>
      <c r="I62" s="22" t="s">
        <v>172</v>
      </c>
      <c r="J62" s="2" t="s">
        <v>173</v>
      </c>
      <c r="K62" s="10" t="str">
        <f t="shared" si="2"/>
        <v>12.0</v>
      </c>
      <c r="L62" s="8">
        <v>171598</v>
      </c>
      <c r="M62" s="8">
        <v>5654</v>
      </c>
    </row>
    <row r="63" spans="1:13" hidden="1">
      <c r="A63" s="4">
        <v>61</v>
      </c>
      <c r="B63" s="4" t="s">
        <v>146</v>
      </c>
      <c r="C63" s="37" t="s">
        <v>146</v>
      </c>
      <c r="D63" s="19">
        <v>45736</v>
      </c>
      <c r="E63" s="6" t="s">
        <v>147</v>
      </c>
      <c r="F63" s="9" t="s">
        <v>148</v>
      </c>
      <c r="G63" s="9">
        <v>0.375</v>
      </c>
      <c r="H63" s="33">
        <v>0.70833333333333337</v>
      </c>
      <c r="I63" s="22" t="s">
        <v>149</v>
      </c>
      <c r="J63" s="2" t="s">
        <v>150</v>
      </c>
      <c r="K63" s="10" t="str">
        <f t="shared" si="2"/>
        <v>8.0</v>
      </c>
      <c r="L63" s="8">
        <v>47842</v>
      </c>
      <c r="M63" s="8">
        <v>954</v>
      </c>
    </row>
    <row r="64" spans="1:13">
      <c r="A64" s="36">
        <v>62</v>
      </c>
      <c r="B64" s="4" t="s">
        <v>37</v>
      </c>
      <c r="C64" s="37" t="s">
        <v>37</v>
      </c>
      <c r="D64" s="19">
        <v>45736</v>
      </c>
      <c r="E64" s="6" t="s">
        <v>75</v>
      </c>
      <c r="F64" s="7" t="s">
        <v>98</v>
      </c>
      <c r="G64" s="1">
        <v>0.58333333333333337</v>
      </c>
      <c r="H64" s="1">
        <v>0.9375</v>
      </c>
      <c r="I64" s="1" t="s">
        <v>98</v>
      </c>
      <c r="J64" s="2" t="s">
        <v>13</v>
      </c>
      <c r="K64" s="10" t="str">
        <f t="shared" si="2"/>
        <v>8.5</v>
      </c>
      <c r="L64" s="21">
        <v>135500</v>
      </c>
      <c r="M64" s="21">
        <v>5246</v>
      </c>
    </row>
    <row r="65" spans="1:13">
      <c r="A65" s="36">
        <v>63</v>
      </c>
      <c r="B65" s="4" t="s">
        <v>175</v>
      </c>
      <c r="C65" s="37" t="s">
        <v>170</v>
      </c>
      <c r="D65" s="19">
        <v>45736</v>
      </c>
      <c r="E65" s="18" t="s">
        <v>174</v>
      </c>
      <c r="F65" s="9" t="s">
        <v>148</v>
      </c>
      <c r="G65" s="137">
        <v>0.5</v>
      </c>
      <c r="H65" s="70">
        <v>0.875</v>
      </c>
      <c r="I65" s="9" t="s">
        <v>148</v>
      </c>
      <c r="J65" s="2" t="s">
        <v>29</v>
      </c>
      <c r="K65" s="10" t="str">
        <f t="shared" si="2"/>
        <v>9.0</v>
      </c>
      <c r="L65" s="69">
        <v>49840</v>
      </c>
      <c r="M65" s="69">
        <v>1975</v>
      </c>
    </row>
    <row r="66" spans="1:13" hidden="1">
      <c r="A66" s="4">
        <v>64</v>
      </c>
      <c r="B66" s="4" t="s">
        <v>55</v>
      </c>
      <c r="C66" s="37" t="s">
        <v>96</v>
      </c>
      <c r="D66" s="19">
        <v>45737</v>
      </c>
      <c r="E66" s="6" t="s">
        <v>58</v>
      </c>
      <c r="F66" s="9" t="s">
        <v>28</v>
      </c>
      <c r="G66" s="9">
        <v>0.29166666666666669</v>
      </c>
      <c r="H66" s="33">
        <v>0.54166666666666663</v>
      </c>
      <c r="I66" s="22" t="s">
        <v>57</v>
      </c>
      <c r="J66" s="2" t="s">
        <v>54</v>
      </c>
      <c r="K66" s="10" t="str">
        <f t="shared" si="2"/>
        <v>6.0</v>
      </c>
      <c r="L66" s="8">
        <v>82897</v>
      </c>
      <c r="M66" s="8">
        <v>2380</v>
      </c>
    </row>
    <row r="67" spans="1:13" hidden="1">
      <c r="A67" s="4">
        <v>65</v>
      </c>
      <c r="B67" s="4" t="s">
        <v>55</v>
      </c>
      <c r="C67" s="37" t="s">
        <v>96</v>
      </c>
      <c r="D67" s="19">
        <v>45738</v>
      </c>
      <c r="E67" s="25" t="s">
        <v>24</v>
      </c>
      <c r="F67" s="7" t="s">
        <v>92</v>
      </c>
      <c r="G67" s="7">
        <v>0.45833333333333331</v>
      </c>
      <c r="H67" s="1">
        <v>0.83333333333333337</v>
      </c>
      <c r="I67" s="22" t="s">
        <v>65</v>
      </c>
      <c r="J67" s="2" t="s">
        <v>21</v>
      </c>
      <c r="K67" s="10" t="str">
        <f t="shared" si="2"/>
        <v>9.0</v>
      </c>
      <c r="L67" s="29">
        <v>71304</v>
      </c>
      <c r="M67" s="24">
        <v>2964</v>
      </c>
    </row>
    <row r="68" spans="1:13">
      <c r="A68" s="36">
        <v>66</v>
      </c>
      <c r="B68" s="4" t="s">
        <v>85</v>
      </c>
      <c r="C68" s="37" t="s">
        <v>95</v>
      </c>
      <c r="D68" s="19">
        <v>45738</v>
      </c>
      <c r="E68" s="6" t="s">
        <v>184</v>
      </c>
      <c r="F68" s="7" t="s">
        <v>45</v>
      </c>
      <c r="G68" s="1">
        <v>0.41666666666666669</v>
      </c>
      <c r="H68" s="1">
        <v>0.75</v>
      </c>
      <c r="I68" s="22" t="s">
        <v>29</v>
      </c>
      <c r="J68" s="7" t="s">
        <v>45</v>
      </c>
      <c r="K68" s="10" t="str">
        <f t="shared" si="2"/>
        <v>8.0</v>
      </c>
      <c r="L68" s="24">
        <v>77499</v>
      </c>
      <c r="M68" s="24">
        <v>2222</v>
      </c>
    </row>
    <row r="69" spans="1:13" hidden="1">
      <c r="A69" s="36">
        <v>67</v>
      </c>
      <c r="B69" s="4" t="s">
        <v>55</v>
      </c>
      <c r="C69" s="37" t="s">
        <v>96</v>
      </c>
      <c r="D69" s="19">
        <v>45739</v>
      </c>
      <c r="E69" s="3" t="s">
        <v>19</v>
      </c>
      <c r="F69" s="5" t="s">
        <v>20</v>
      </c>
      <c r="G69" s="5">
        <v>0.29166666666666669</v>
      </c>
      <c r="H69" s="33">
        <v>0.66666666666666663</v>
      </c>
      <c r="I69" s="22" t="s">
        <v>13</v>
      </c>
      <c r="J69" s="2" t="s">
        <v>21</v>
      </c>
      <c r="K69" s="10" t="str">
        <f t="shared" si="2"/>
        <v>9.0</v>
      </c>
      <c r="L69" s="11">
        <v>91011</v>
      </c>
      <c r="M69" s="24">
        <v>2593</v>
      </c>
    </row>
    <row r="70" spans="1:13">
      <c r="A70" s="4">
        <v>68</v>
      </c>
      <c r="B70" s="4" t="s">
        <v>55</v>
      </c>
      <c r="C70" s="37" t="s">
        <v>37</v>
      </c>
      <c r="D70" s="19">
        <v>45739</v>
      </c>
      <c r="E70" s="3" t="s">
        <v>59</v>
      </c>
      <c r="F70" s="5" t="s">
        <v>60</v>
      </c>
      <c r="G70" s="5">
        <v>0.33333333333333331</v>
      </c>
      <c r="H70" s="33">
        <v>0.75</v>
      </c>
      <c r="I70" s="30" t="s">
        <v>61</v>
      </c>
      <c r="J70" s="2" t="s">
        <v>57</v>
      </c>
      <c r="K70" s="10" t="str">
        <f t="shared" si="2"/>
        <v>10.0</v>
      </c>
      <c r="L70" s="8">
        <v>32477</v>
      </c>
      <c r="M70" s="8">
        <v>540</v>
      </c>
    </row>
    <row r="71" spans="1:13" hidden="1">
      <c r="A71" s="4">
        <v>69</v>
      </c>
      <c r="B71" s="4" t="s">
        <v>55</v>
      </c>
      <c r="C71" s="37" t="s">
        <v>55</v>
      </c>
      <c r="D71" s="19">
        <v>45740</v>
      </c>
      <c r="E71" s="18" t="s">
        <v>174</v>
      </c>
      <c r="F71" s="9" t="s">
        <v>148</v>
      </c>
      <c r="G71" s="70">
        <v>0.54166666666666663</v>
      </c>
      <c r="H71" s="70">
        <v>0.875</v>
      </c>
      <c r="I71" s="9" t="s">
        <v>148</v>
      </c>
      <c r="J71" s="1" t="s">
        <v>36</v>
      </c>
      <c r="K71" s="10" t="str">
        <f t="shared" si="2"/>
        <v>8.0</v>
      </c>
      <c r="L71" s="69">
        <v>49840</v>
      </c>
      <c r="M71" s="69">
        <v>1975</v>
      </c>
    </row>
    <row r="72" spans="1:13">
      <c r="A72" s="36">
        <v>70</v>
      </c>
      <c r="B72" s="4" t="s">
        <v>37</v>
      </c>
      <c r="C72" s="37" t="s">
        <v>95</v>
      </c>
      <c r="D72" s="19">
        <v>45740</v>
      </c>
      <c r="E72" s="20" t="s">
        <v>75</v>
      </c>
      <c r="F72" s="7" t="s">
        <v>98</v>
      </c>
      <c r="G72" s="1">
        <v>0.58333333333333337</v>
      </c>
      <c r="H72" s="1">
        <v>0.9375</v>
      </c>
      <c r="I72" s="1" t="s">
        <v>98</v>
      </c>
      <c r="J72" s="2" t="s">
        <v>13</v>
      </c>
      <c r="K72" s="10" t="str">
        <f t="shared" si="2"/>
        <v>8.5</v>
      </c>
      <c r="L72" s="21">
        <v>135500</v>
      </c>
      <c r="M72" s="21">
        <v>5246</v>
      </c>
    </row>
    <row r="73" spans="1:13" ht="15.75" customHeight="1">
      <c r="A73" s="36">
        <v>71</v>
      </c>
      <c r="B73" s="4" t="s">
        <v>85</v>
      </c>
      <c r="C73" s="37" t="s">
        <v>37</v>
      </c>
      <c r="D73" s="19">
        <v>45743</v>
      </c>
      <c r="E73" s="6" t="s">
        <v>184</v>
      </c>
      <c r="F73" s="7" t="s">
        <v>45</v>
      </c>
      <c r="G73" s="1">
        <v>0.41666666666666669</v>
      </c>
      <c r="H73" s="1">
        <v>0.75</v>
      </c>
      <c r="I73" s="27" t="s">
        <v>29</v>
      </c>
      <c r="J73" s="7" t="s">
        <v>45</v>
      </c>
      <c r="K73" s="10" t="str">
        <f t="shared" si="2"/>
        <v>8.0</v>
      </c>
      <c r="L73" s="24">
        <v>77499</v>
      </c>
      <c r="M73" s="24">
        <v>2222</v>
      </c>
    </row>
    <row r="74" spans="1:13" ht="15.75" hidden="1" customHeight="1">
      <c r="A74" s="4">
        <v>72</v>
      </c>
      <c r="B74" s="4" t="s">
        <v>146</v>
      </c>
      <c r="C74" s="37" t="s">
        <v>146</v>
      </c>
      <c r="D74" s="19">
        <v>45743</v>
      </c>
      <c r="E74" s="6" t="s">
        <v>147</v>
      </c>
      <c r="F74" s="9" t="s">
        <v>148</v>
      </c>
      <c r="G74" s="9">
        <v>0.375</v>
      </c>
      <c r="H74" s="33">
        <v>0.70833333333333337</v>
      </c>
      <c r="I74" s="22" t="s">
        <v>149</v>
      </c>
      <c r="J74" s="2" t="s">
        <v>150</v>
      </c>
      <c r="K74" s="10" t="str">
        <f>TEXT((VALUE(H74)-VALUE(G74))*24,"0.0")</f>
        <v>8.0</v>
      </c>
      <c r="L74" s="8">
        <v>47842</v>
      </c>
      <c r="M74" s="8">
        <v>954</v>
      </c>
    </row>
    <row r="75" spans="1:13" ht="15.75" hidden="1" customHeight="1">
      <c r="A75" s="4">
        <v>73</v>
      </c>
      <c r="B75" s="4" t="s">
        <v>55</v>
      </c>
      <c r="C75" s="37" t="s">
        <v>55</v>
      </c>
      <c r="D75" s="19">
        <v>45744</v>
      </c>
      <c r="E75" s="18" t="s">
        <v>174</v>
      </c>
      <c r="F75" s="9" t="s">
        <v>148</v>
      </c>
      <c r="G75" s="70">
        <v>0.54166666666666663</v>
      </c>
      <c r="H75" s="70">
        <v>0.875</v>
      </c>
      <c r="I75" s="9" t="s">
        <v>148</v>
      </c>
      <c r="J75" s="1" t="s">
        <v>36</v>
      </c>
      <c r="K75" s="10" t="str">
        <f>TEXT((VALUE(H75)-VALUE(G75))*24,"0.0")</f>
        <v>8.0</v>
      </c>
      <c r="L75" s="69">
        <v>49840</v>
      </c>
      <c r="M75" s="69">
        <v>1975</v>
      </c>
    </row>
    <row r="76" spans="1:13">
      <c r="A76" s="36">
        <v>74</v>
      </c>
      <c r="B76" s="4" t="s">
        <v>37</v>
      </c>
      <c r="C76" s="37" t="s">
        <v>95</v>
      </c>
      <c r="D76" s="19">
        <v>45745</v>
      </c>
      <c r="E76" s="6" t="s">
        <v>27</v>
      </c>
      <c r="F76" s="12" t="s">
        <v>86</v>
      </c>
      <c r="G76" s="12">
        <v>0.33333333333333331</v>
      </c>
      <c r="H76" s="33">
        <v>0.75</v>
      </c>
      <c r="I76" s="22" t="s">
        <v>13</v>
      </c>
      <c r="J76" s="2" t="s">
        <v>38</v>
      </c>
      <c r="K76" s="10" t="str">
        <f t="shared" si="2"/>
        <v>10.0</v>
      </c>
      <c r="L76" s="8">
        <v>114261</v>
      </c>
      <c r="M76" s="8">
        <v>3014</v>
      </c>
    </row>
    <row r="77" spans="1:13" hidden="1">
      <c r="A77" s="36">
        <v>75</v>
      </c>
      <c r="B77" s="4" t="s">
        <v>55</v>
      </c>
      <c r="C77" s="37" t="s">
        <v>96</v>
      </c>
      <c r="D77" s="19">
        <v>45748</v>
      </c>
      <c r="E77" s="6" t="s">
        <v>15</v>
      </c>
      <c r="F77" s="20" t="s">
        <v>65</v>
      </c>
      <c r="G77" s="27">
        <v>0.25</v>
      </c>
      <c r="H77" s="1">
        <v>0.58333333333333337</v>
      </c>
      <c r="I77" s="22" t="s">
        <v>13</v>
      </c>
      <c r="J77" s="2" t="s">
        <v>54</v>
      </c>
      <c r="K77" s="10" t="str">
        <f t="shared" si="2"/>
        <v>8.0</v>
      </c>
      <c r="L77" s="24">
        <v>75904</v>
      </c>
      <c r="M77" s="8">
        <v>2018</v>
      </c>
    </row>
    <row r="78" spans="1:13">
      <c r="A78" s="4">
        <v>76</v>
      </c>
      <c r="B78" s="4" t="s">
        <v>85</v>
      </c>
      <c r="C78" s="37" t="s">
        <v>37</v>
      </c>
      <c r="D78" s="19">
        <v>45748</v>
      </c>
      <c r="E78" s="6" t="s">
        <v>184</v>
      </c>
      <c r="F78" s="7" t="s">
        <v>45</v>
      </c>
      <c r="G78" s="1">
        <v>0.41666666666666669</v>
      </c>
      <c r="H78" s="1">
        <v>0.75</v>
      </c>
      <c r="I78" s="1" t="s">
        <v>29</v>
      </c>
      <c r="J78" s="7" t="s">
        <v>45</v>
      </c>
      <c r="K78" s="10" t="str">
        <f t="shared" si="2"/>
        <v>8.0</v>
      </c>
      <c r="L78" s="24">
        <v>77499</v>
      </c>
      <c r="M78" s="24">
        <v>2222</v>
      </c>
    </row>
    <row r="79" spans="1:13">
      <c r="A79" s="4">
        <v>77</v>
      </c>
      <c r="B79" s="4" t="s">
        <v>37</v>
      </c>
      <c r="C79" s="37" t="s">
        <v>37</v>
      </c>
      <c r="D79" s="19">
        <v>45749</v>
      </c>
      <c r="E79" s="6" t="s">
        <v>75</v>
      </c>
      <c r="F79" s="7" t="s">
        <v>98</v>
      </c>
      <c r="G79" s="1">
        <v>0.58333333333333337</v>
      </c>
      <c r="H79" s="1">
        <v>0.9375</v>
      </c>
      <c r="I79" s="1" t="s">
        <v>98</v>
      </c>
      <c r="J79" s="7" t="s">
        <v>36</v>
      </c>
      <c r="K79" s="10" t="str">
        <f t="shared" si="2"/>
        <v>8.5</v>
      </c>
      <c r="L79" s="21">
        <v>135500</v>
      </c>
      <c r="M79" s="21">
        <v>5246</v>
      </c>
    </row>
    <row r="80" spans="1:13" hidden="1">
      <c r="A80" s="36">
        <v>78</v>
      </c>
      <c r="B80" s="4" t="s">
        <v>55</v>
      </c>
      <c r="C80" s="37" t="s">
        <v>96</v>
      </c>
      <c r="D80" s="19">
        <v>45750</v>
      </c>
      <c r="E80" s="6" t="s">
        <v>15</v>
      </c>
      <c r="F80" s="20" t="s">
        <v>65</v>
      </c>
      <c r="G80" s="5">
        <v>0.5</v>
      </c>
      <c r="H80" s="33">
        <v>0.875</v>
      </c>
      <c r="I80" s="22" t="s">
        <v>65</v>
      </c>
      <c r="J80" s="2" t="s">
        <v>16</v>
      </c>
      <c r="K80" s="10" t="str">
        <f t="shared" si="2"/>
        <v>9.0</v>
      </c>
      <c r="L80" s="24">
        <v>75904</v>
      </c>
      <c r="M80" s="8">
        <v>2018</v>
      </c>
    </row>
    <row r="81" spans="1:13">
      <c r="A81" s="36">
        <v>79</v>
      </c>
      <c r="B81" s="4" t="s">
        <v>146</v>
      </c>
      <c r="C81" s="37" t="s">
        <v>97</v>
      </c>
      <c r="D81" s="19">
        <v>45750</v>
      </c>
      <c r="E81" s="6" t="s">
        <v>147</v>
      </c>
      <c r="F81" s="9" t="s">
        <v>148</v>
      </c>
      <c r="G81" s="9">
        <v>0.39583333333333331</v>
      </c>
      <c r="H81" s="33">
        <v>0.72916666666666663</v>
      </c>
      <c r="I81" s="22" t="s">
        <v>149</v>
      </c>
      <c r="J81" s="2" t="s">
        <v>150</v>
      </c>
      <c r="K81" s="10" t="str">
        <f t="shared" si="2"/>
        <v>8.0</v>
      </c>
      <c r="L81" s="8">
        <v>47842</v>
      </c>
      <c r="M81" s="8">
        <v>954</v>
      </c>
    </row>
    <row r="82" spans="1:13">
      <c r="A82" s="4">
        <v>80</v>
      </c>
      <c r="B82" s="4" t="s">
        <v>170</v>
      </c>
      <c r="C82" s="37" t="s">
        <v>170</v>
      </c>
      <c r="D82" s="19">
        <v>45750</v>
      </c>
      <c r="E82" s="6" t="s">
        <v>76</v>
      </c>
      <c r="F82" s="9" t="s">
        <v>45</v>
      </c>
      <c r="G82" s="9">
        <v>0.3125</v>
      </c>
      <c r="H82" s="33">
        <v>0.77083333333333337</v>
      </c>
      <c r="I82" s="9" t="s">
        <v>45</v>
      </c>
      <c r="J82" s="7" t="s">
        <v>36</v>
      </c>
      <c r="K82" s="10" t="str">
        <f t="shared" si="2"/>
        <v>11.0</v>
      </c>
      <c r="L82" s="68">
        <v>137936</v>
      </c>
      <c r="M82" s="8">
        <v>4363</v>
      </c>
    </row>
    <row r="83" spans="1:13" hidden="1">
      <c r="A83" s="4">
        <v>81</v>
      </c>
      <c r="B83" s="4" t="s">
        <v>55</v>
      </c>
      <c r="C83" s="37" t="s">
        <v>96</v>
      </c>
      <c r="D83" s="19">
        <v>45751</v>
      </c>
      <c r="E83" s="3" t="s">
        <v>19</v>
      </c>
      <c r="F83" s="5" t="s">
        <v>20</v>
      </c>
      <c r="G83" s="5">
        <v>0.29166666666666669</v>
      </c>
      <c r="H83" s="33">
        <v>0.66666666666666663</v>
      </c>
      <c r="I83" s="22" t="s">
        <v>13</v>
      </c>
      <c r="J83" s="2" t="s">
        <v>21</v>
      </c>
      <c r="K83" s="10" t="str">
        <f t="shared" si="2"/>
        <v>9.0</v>
      </c>
      <c r="L83" s="29">
        <v>91011</v>
      </c>
      <c r="M83" s="24">
        <v>2593</v>
      </c>
    </row>
    <row r="84" spans="1:13">
      <c r="A84" s="36">
        <v>82</v>
      </c>
      <c r="B84" s="4" t="s">
        <v>55</v>
      </c>
      <c r="C84" s="37" t="s">
        <v>95</v>
      </c>
      <c r="D84" s="19">
        <v>45751</v>
      </c>
      <c r="E84" s="6" t="s">
        <v>62</v>
      </c>
      <c r="F84" s="9" t="s">
        <v>63</v>
      </c>
      <c r="G84" s="38">
        <v>0.29166666666666669</v>
      </c>
      <c r="H84" s="38">
        <v>0.79166666666666663</v>
      </c>
      <c r="I84" s="30" t="s">
        <v>57</v>
      </c>
      <c r="J84" s="9" t="s">
        <v>63</v>
      </c>
      <c r="K84" s="10" t="str">
        <f t="shared" si="2"/>
        <v>12.0</v>
      </c>
      <c r="L84" s="29">
        <v>98811</v>
      </c>
      <c r="M84" s="24">
        <v>2534</v>
      </c>
    </row>
    <row r="85" spans="1:13">
      <c r="A85" s="36">
        <v>83</v>
      </c>
      <c r="B85" s="4" t="s">
        <v>37</v>
      </c>
      <c r="C85" s="37" t="s">
        <v>95</v>
      </c>
      <c r="D85" s="19">
        <v>45752</v>
      </c>
      <c r="E85" s="26" t="s">
        <v>39</v>
      </c>
      <c r="F85" s="27" t="s">
        <v>98</v>
      </c>
      <c r="G85" s="27">
        <v>0.54166666666666663</v>
      </c>
      <c r="H85" s="1">
        <v>0.875</v>
      </c>
      <c r="I85" s="27" t="s">
        <v>98</v>
      </c>
      <c r="J85" s="2" t="s">
        <v>36</v>
      </c>
      <c r="K85" s="10" t="str">
        <f t="shared" si="2"/>
        <v>8.0</v>
      </c>
      <c r="L85" s="28">
        <v>169379</v>
      </c>
      <c r="M85" s="16">
        <v>5622</v>
      </c>
    </row>
    <row r="86" spans="1:13" hidden="1">
      <c r="A86" s="4">
        <v>84</v>
      </c>
      <c r="B86" s="4" t="s">
        <v>85</v>
      </c>
      <c r="C86" s="37" t="s">
        <v>96</v>
      </c>
      <c r="D86" s="19">
        <v>45752</v>
      </c>
      <c r="E86" s="6" t="s">
        <v>184</v>
      </c>
      <c r="F86" s="7" t="s">
        <v>45</v>
      </c>
      <c r="G86" s="1">
        <v>0.33333333333333331</v>
      </c>
      <c r="H86" s="1">
        <v>0.66666666666666663</v>
      </c>
      <c r="I86" s="7" t="s">
        <v>45</v>
      </c>
      <c r="J86" s="7" t="s">
        <v>45</v>
      </c>
      <c r="K86" s="10" t="str">
        <f t="shared" si="2"/>
        <v>8.0</v>
      </c>
      <c r="L86" s="24">
        <v>77499</v>
      </c>
      <c r="M86" s="24">
        <v>2222</v>
      </c>
    </row>
    <row r="87" spans="1:13">
      <c r="A87" s="4">
        <v>85</v>
      </c>
      <c r="B87" s="4" t="s">
        <v>37</v>
      </c>
      <c r="C87" s="37" t="s">
        <v>37</v>
      </c>
      <c r="D87" s="19">
        <v>45753</v>
      </c>
      <c r="E87" s="6" t="s">
        <v>75</v>
      </c>
      <c r="F87" s="7" t="s">
        <v>98</v>
      </c>
      <c r="G87" s="1">
        <v>0.58333333333333337</v>
      </c>
      <c r="H87" s="1">
        <v>0.9375</v>
      </c>
      <c r="I87" s="1" t="s">
        <v>98</v>
      </c>
      <c r="J87" s="2" t="s">
        <v>13</v>
      </c>
      <c r="K87" s="10" t="str">
        <f t="shared" si="2"/>
        <v>8.5</v>
      </c>
      <c r="L87" s="21">
        <v>135500</v>
      </c>
      <c r="M87" s="21">
        <v>5246</v>
      </c>
    </row>
    <row r="88" spans="1:13">
      <c r="A88" s="36">
        <v>86</v>
      </c>
      <c r="B88" s="4" t="s">
        <v>181</v>
      </c>
      <c r="C88" s="37" t="s">
        <v>181</v>
      </c>
      <c r="D88" s="19">
        <v>45756</v>
      </c>
      <c r="E88" s="6" t="s">
        <v>82</v>
      </c>
      <c r="F88" s="7" t="s">
        <v>20</v>
      </c>
      <c r="G88" s="1">
        <v>0.375</v>
      </c>
      <c r="H88" s="1">
        <v>0.83333333333333337</v>
      </c>
      <c r="I88" s="1" t="s">
        <v>172</v>
      </c>
      <c r="J88" s="42" t="s">
        <v>29</v>
      </c>
      <c r="K88" s="10" t="str">
        <f t="shared" si="2"/>
        <v>11.0</v>
      </c>
      <c r="L88" s="8">
        <v>171598</v>
      </c>
      <c r="M88" s="8">
        <v>5654</v>
      </c>
    </row>
    <row r="89" spans="1:13">
      <c r="A89" s="36">
        <v>87</v>
      </c>
      <c r="B89" s="4" t="s">
        <v>85</v>
      </c>
      <c r="C89" s="37" t="s">
        <v>37</v>
      </c>
      <c r="D89" s="19">
        <v>45757</v>
      </c>
      <c r="E89" s="6" t="s">
        <v>184</v>
      </c>
      <c r="F89" s="7" t="s">
        <v>45</v>
      </c>
      <c r="G89" s="1">
        <v>0.41666666666666669</v>
      </c>
      <c r="H89" s="1">
        <v>0.75</v>
      </c>
      <c r="I89" s="4" t="s">
        <v>29</v>
      </c>
      <c r="J89" s="7" t="s">
        <v>45</v>
      </c>
      <c r="K89" s="10" t="str">
        <f t="shared" si="2"/>
        <v>8.0</v>
      </c>
      <c r="L89" s="24">
        <v>77499</v>
      </c>
      <c r="M89" s="24">
        <v>2222</v>
      </c>
    </row>
    <row r="90" spans="1:13">
      <c r="A90" s="4">
        <v>88</v>
      </c>
      <c r="B90" s="4" t="s">
        <v>37</v>
      </c>
      <c r="C90" s="37" t="s">
        <v>37</v>
      </c>
      <c r="D90" s="19">
        <v>45757</v>
      </c>
      <c r="E90" s="6" t="s">
        <v>75</v>
      </c>
      <c r="F90" s="7" t="s">
        <v>98</v>
      </c>
      <c r="G90" s="1">
        <v>0.58333333333333337</v>
      </c>
      <c r="H90" s="1">
        <v>0.9375</v>
      </c>
      <c r="I90" s="1" t="s">
        <v>98</v>
      </c>
      <c r="J90" s="7" t="s">
        <v>36</v>
      </c>
      <c r="K90" s="10" t="str">
        <f t="shared" si="2"/>
        <v>8.5</v>
      </c>
      <c r="L90" s="21">
        <v>135500</v>
      </c>
      <c r="M90" s="21">
        <v>5246</v>
      </c>
    </row>
    <row r="91" spans="1:13" hidden="1">
      <c r="A91" s="4">
        <v>89</v>
      </c>
      <c r="B91" s="4" t="s">
        <v>55</v>
      </c>
      <c r="C91" s="37" t="s">
        <v>146</v>
      </c>
      <c r="D91" s="19">
        <v>45757</v>
      </c>
      <c r="E91" s="6" t="s">
        <v>147</v>
      </c>
      <c r="F91" s="9" t="s">
        <v>148</v>
      </c>
      <c r="G91" s="9">
        <v>0.375</v>
      </c>
      <c r="H91" s="33">
        <v>0.70833333333333337</v>
      </c>
      <c r="I91" s="9" t="s">
        <v>148</v>
      </c>
      <c r="J91" s="2" t="s">
        <v>151</v>
      </c>
      <c r="K91" s="10" t="str">
        <f>TEXT((VALUE(H91)-VALUE(G91))*24,"0.0")</f>
        <v>8.0</v>
      </c>
      <c r="L91" s="8">
        <v>47842</v>
      </c>
      <c r="M91" s="8">
        <v>954</v>
      </c>
    </row>
    <row r="92" spans="1:13" hidden="1">
      <c r="A92" s="36">
        <v>90</v>
      </c>
      <c r="B92" s="4" t="s">
        <v>55</v>
      </c>
      <c r="C92" s="37" t="s">
        <v>96</v>
      </c>
      <c r="D92" s="19">
        <v>45760</v>
      </c>
      <c r="E92" s="3" t="s">
        <v>64</v>
      </c>
      <c r="F92" s="5" t="s">
        <v>63</v>
      </c>
      <c r="G92" s="39">
        <v>0.54166666666666663</v>
      </c>
      <c r="H92" s="39">
        <v>0.875</v>
      </c>
      <c r="I92" s="3" t="s">
        <v>65</v>
      </c>
      <c r="J92" s="5" t="s">
        <v>63</v>
      </c>
      <c r="K92" s="10" t="str">
        <f t="shared" si="2"/>
        <v>8.0</v>
      </c>
      <c r="L92" s="15">
        <v>28258</v>
      </c>
      <c r="M92" s="8">
        <v>466</v>
      </c>
    </row>
    <row r="93" spans="1:13">
      <c r="A93" s="36">
        <v>91</v>
      </c>
      <c r="B93" s="4" t="s">
        <v>37</v>
      </c>
      <c r="C93" s="37" t="s">
        <v>161</v>
      </c>
      <c r="D93" s="19">
        <v>45760</v>
      </c>
      <c r="E93" s="6" t="s">
        <v>76</v>
      </c>
      <c r="F93" s="7" t="s">
        <v>45</v>
      </c>
      <c r="G93" s="1">
        <v>0.29166666666666669</v>
      </c>
      <c r="H93" s="33">
        <v>0.75</v>
      </c>
      <c r="I93" s="7" t="s">
        <v>45</v>
      </c>
      <c r="J93" s="2" t="s">
        <v>13</v>
      </c>
      <c r="K93" s="10" t="str">
        <f t="shared" si="2"/>
        <v>11.0</v>
      </c>
      <c r="L93" s="68">
        <v>137936</v>
      </c>
      <c r="M93" s="8">
        <v>4363</v>
      </c>
    </row>
    <row r="94" spans="1:13">
      <c r="A94" s="4">
        <v>92</v>
      </c>
      <c r="B94" s="4" t="s">
        <v>37</v>
      </c>
      <c r="C94" s="37" t="s">
        <v>95</v>
      </c>
      <c r="D94" s="19">
        <v>45761</v>
      </c>
      <c r="E94" s="20" t="s">
        <v>75</v>
      </c>
      <c r="F94" s="7" t="s">
        <v>98</v>
      </c>
      <c r="G94" s="1">
        <v>0.58333333333333337</v>
      </c>
      <c r="H94" s="1">
        <v>0.9375</v>
      </c>
      <c r="I94" s="1" t="s">
        <v>98</v>
      </c>
      <c r="J94" s="2" t="s">
        <v>36</v>
      </c>
      <c r="K94" s="10" t="str">
        <f t="shared" si="2"/>
        <v>8.5</v>
      </c>
      <c r="L94" s="21">
        <v>135500</v>
      </c>
      <c r="M94" s="21">
        <v>5246</v>
      </c>
    </row>
    <row r="95" spans="1:13" hidden="1">
      <c r="A95" s="4">
        <v>93</v>
      </c>
      <c r="B95" s="4" t="s">
        <v>85</v>
      </c>
      <c r="C95" s="37" t="s">
        <v>96</v>
      </c>
      <c r="D95" s="19">
        <v>45762</v>
      </c>
      <c r="E95" s="6" t="s">
        <v>184</v>
      </c>
      <c r="F95" s="7" t="s">
        <v>45</v>
      </c>
      <c r="G95" s="1">
        <v>0.41666666666666669</v>
      </c>
      <c r="H95" s="1">
        <v>0.75</v>
      </c>
      <c r="I95" s="20" t="s">
        <v>18</v>
      </c>
      <c r="J95" s="7" t="s">
        <v>45</v>
      </c>
      <c r="K95" s="10" t="str">
        <f t="shared" si="2"/>
        <v>8.0</v>
      </c>
      <c r="L95" s="24">
        <v>77499</v>
      </c>
      <c r="M95" s="24">
        <v>2222</v>
      </c>
    </row>
    <row r="96" spans="1:13" ht="17.25" customHeight="1">
      <c r="A96" s="36">
        <v>94</v>
      </c>
      <c r="B96" s="4" t="s">
        <v>37</v>
      </c>
      <c r="C96" s="37" t="s">
        <v>37</v>
      </c>
      <c r="D96" s="19">
        <v>45765</v>
      </c>
      <c r="E96" s="6" t="s">
        <v>82</v>
      </c>
      <c r="F96" s="7" t="s">
        <v>20</v>
      </c>
      <c r="G96" s="1">
        <v>0.33333333333333331</v>
      </c>
      <c r="H96" s="33">
        <v>0.75</v>
      </c>
      <c r="I96" s="1" t="s">
        <v>16</v>
      </c>
      <c r="J96" s="2" t="s">
        <v>21</v>
      </c>
      <c r="K96" s="10" t="str">
        <f t="shared" si="2"/>
        <v>10.0</v>
      </c>
      <c r="L96" s="8">
        <v>171598</v>
      </c>
      <c r="M96" s="8">
        <v>5654</v>
      </c>
    </row>
    <row r="97" spans="1:13" hidden="1">
      <c r="A97" s="36">
        <v>95</v>
      </c>
      <c r="B97" s="4" t="s">
        <v>85</v>
      </c>
      <c r="C97" s="37" t="s">
        <v>96</v>
      </c>
      <c r="D97" s="19">
        <v>45766</v>
      </c>
      <c r="E97" s="6" t="s">
        <v>184</v>
      </c>
      <c r="F97" s="7" t="s">
        <v>45</v>
      </c>
      <c r="G97" s="1">
        <v>0.33333333333333331</v>
      </c>
      <c r="H97" s="1">
        <v>0.66666666666666663</v>
      </c>
      <c r="I97" s="7" t="s">
        <v>45</v>
      </c>
      <c r="J97" s="7" t="s">
        <v>45</v>
      </c>
      <c r="K97" s="10" t="str">
        <f t="shared" si="2"/>
        <v>8.0</v>
      </c>
      <c r="L97" s="24">
        <v>77499</v>
      </c>
      <c r="M97" s="24">
        <v>2222</v>
      </c>
    </row>
    <row r="98" spans="1:13" ht="18" thickBot="1">
      <c r="A98" s="4">
        <v>96</v>
      </c>
      <c r="B98" s="73" t="s">
        <v>37</v>
      </c>
      <c r="C98" s="74" t="s">
        <v>95</v>
      </c>
      <c r="D98" s="75">
        <v>45769</v>
      </c>
      <c r="E98" s="119" t="s">
        <v>25</v>
      </c>
      <c r="F98" s="120" t="s">
        <v>52</v>
      </c>
      <c r="G98" s="120">
        <v>0.3125</v>
      </c>
      <c r="H98" s="121">
        <v>0.64583333333333337</v>
      </c>
      <c r="I98" s="122" t="s">
        <v>26</v>
      </c>
      <c r="J98" s="79" t="s">
        <v>20</v>
      </c>
      <c r="K98" s="80" t="str">
        <f t="shared" si="2"/>
        <v>8.0</v>
      </c>
      <c r="L98" s="82">
        <v>168666</v>
      </c>
      <c r="M98" s="82">
        <v>4825</v>
      </c>
    </row>
    <row r="99" spans="1:13">
      <c r="A99" s="4">
        <v>97</v>
      </c>
      <c r="B99" s="85" t="s">
        <v>37</v>
      </c>
      <c r="C99" s="86" t="s">
        <v>37</v>
      </c>
      <c r="D99" s="87">
        <v>45770</v>
      </c>
      <c r="E99" s="86" t="s">
        <v>39</v>
      </c>
      <c r="F99" s="123" t="s">
        <v>98</v>
      </c>
      <c r="G99" s="123">
        <v>0.54166666666666663</v>
      </c>
      <c r="H99" s="124">
        <v>0.875</v>
      </c>
      <c r="I99" s="123" t="s">
        <v>98</v>
      </c>
      <c r="J99" s="92" t="s">
        <v>36</v>
      </c>
      <c r="K99" s="93" t="str">
        <f t="shared" si="2"/>
        <v>8.0</v>
      </c>
      <c r="L99" s="125">
        <v>169379</v>
      </c>
      <c r="M99" s="126">
        <v>5622</v>
      </c>
    </row>
    <row r="100" spans="1:13" ht="18" thickBot="1">
      <c r="A100" s="36">
        <v>98</v>
      </c>
      <c r="B100" s="112" t="s">
        <v>37</v>
      </c>
      <c r="C100" s="127" t="s">
        <v>37</v>
      </c>
      <c r="D100" s="113">
        <v>45770</v>
      </c>
      <c r="E100" s="128" t="s">
        <v>78</v>
      </c>
      <c r="F100" s="129" t="s">
        <v>20</v>
      </c>
      <c r="G100" s="129">
        <v>0.29166666666666669</v>
      </c>
      <c r="H100" s="114">
        <v>0.625</v>
      </c>
      <c r="I100" s="114" t="s">
        <v>79</v>
      </c>
      <c r="J100" s="130" t="s">
        <v>80</v>
      </c>
      <c r="K100" s="115" t="str">
        <f t="shared" si="2"/>
        <v>8.0</v>
      </c>
      <c r="L100" s="131">
        <v>115906</v>
      </c>
      <c r="M100" s="132">
        <v>3247</v>
      </c>
    </row>
    <row r="101" spans="1:13" hidden="1">
      <c r="A101" s="36">
        <v>99</v>
      </c>
      <c r="B101" s="43" t="s">
        <v>55</v>
      </c>
      <c r="C101" s="26" t="s">
        <v>164</v>
      </c>
      <c r="D101" s="83">
        <v>45771</v>
      </c>
      <c r="E101" s="6" t="s">
        <v>67</v>
      </c>
      <c r="F101" s="7" t="s">
        <v>163</v>
      </c>
      <c r="G101" s="7">
        <v>0.5625</v>
      </c>
      <c r="H101" s="7">
        <v>0.91666666666666663</v>
      </c>
      <c r="I101" s="7" t="s">
        <v>163</v>
      </c>
      <c r="J101" s="42" t="s">
        <v>36</v>
      </c>
      <c r="K101" s="84" t="str">
        <f>TEXT((VALUE(H101)-VALUE(G101))*24,"0.0")</f>
        <v>8.5</v>
      </c>
      <c r="L101" s="8">
        <v>85619</v>
      </c>
      <c r="M101" s="8">
        <v>2680</v>
      </c>
    </row>
    <row r="102" spans="1:13">
      <c r="A102" s="4">
        <v>100</v>
      </c>
      <c r="B102" s="4" t="s">
        <v>85</v>
      </c>
      <c r="C102" s="37" t="s">
        <v>37</v>
      </c>
      <c r="D102" s="19">
        <v>45771</v>
      </c>
      <c r="E102" s="6" t="s">
        <v>184</v>
      </c>
      <c r="F102" s="7" t="s">
        <v>45</v>
      </c>
      <c r="G102" s="1">
        <v>0.41666666666666669</v>
      </c>
      <c r="H102" s="1">
        <v>0.75</v>
      </c>
      <c r="I102" s="20" t="s">
        <v>36</v>
      </c>
      <c r="J102" s="7" t="s">
        <v>45</v>
      </c>
      <c r="K102" s="10" t="str">
        <f t="shared" si="2"/>
        <v>8.0</v>
      </c>
      <c r="L102" s="24">
        <v>77499</v>
      </c>
      <c r="M102" s="24">
        <v>2222</v>
      </c>
    </row>
    <row r="103" spans="1:13" hidden="1">
      <c r="A103" s="4">
        <v>101</v>
      </c>
      <c r="B103" s="4" t="s">
        <v>55</v>
      </c>
      <c r="C103" s="37" t="s">
        <v>96</v>
      </c>
      <c r="D103" s="19">
        <v>45772</v>
      </c>
      <c r="E103" s="6" t="s">
        <v>69</v>
      </c>
      <c r="F103" s="9" t="s">
        <v>60</v>
      </c>
      <c r="G103" s="9">
        <v>0.5</v>
      </c>
      <c r="H103" s="33">
        <v>0.83333333333333337</v>
      </c>
      <c r="I103" s="22" t="s">
        <v>70</v>
      </c>
      <c r="J103" s="2" t="s">
        <v>71</v>
      </c>
      <c r="K103" s="10" t="str">
        <f t="shared" si="2"/>
        <v>8.0</v>
      </c>
      <c r="L103" s="8">
        <v>22498</v>
      </c>
      <c r="M103" s="8">
        <v>228</v>
      </c>
    </row>
    <row r="104" spans="1:13">
      <c r="A104" s="36">
        <v>102</v>
      </c>
      <c r="B104" s="4" t="s">
        <v>37</v>
      </c>
      <c r="C104" s="37" t="s">
        <v>95</v>
      </c>
      <c r="D104" s="19">
        <v>45772</v>
      </c>
      <c r="E104" s="6" t="s">
        <v>83</v>
      </c>
      <c r="F104" s="9" t="s">
        <v>77</v>
      </c>
      <c r="G104" s="9">
        <v>0.5</v>
      </c>
      <c r="H104" s="33">
        <v>0.83333333333333337</v>
      </c>
      <c r="I104" s="22" t="s">
        <v>65</v>
      </c>
      <c r="J104" s="9" t="s">
        <v>77</v>
      </c>
      <c r="K104" s="10" t="str">
        <f t="shared" si="2"/>
        <v>8.0</v>
      </c>
      <c r="L104" s="8">
        <v>40700</v>
      </c>
      <c r="M104" s="8">
        <v>623</v>
      </c>
    </row>
    <row r="105" spans="1:13">
      <c r="A105" s="36">
        <v>103</v>
      </c>
      <c r="B105" s="4" t="s">
        <v>37</v>
      </c>
      <c r="C105" s="37" t="s">
        <v>37</v>
      </c>
      <c r="D105" s="19">
        <v>45772</v>
      </c>
      <c r="E105" s="20" t="s">
        <v>75</v>
      </c>
      <c r="F105" s="7" t="s">
        <v>98</v>
      </c>
      <c r="G105" s="1">
        <v>0.33333333333333331</v>
      </c>
      <c r="H105" s="1">
        <v>0.70833333333333337</v>
      </c>
      <c r="I105" s="1" t="s">
        <v>29</v>
      </c>
      <c r="J105" s="7" t="s">
        <v>98</v>
      </c>
      <c r="K105" s="10" t="str">
        <f t="shared" si="2"/>
        <v>9.0</v>
      </c>
      <c r="L105" s="21">
        <v>135500</v>
      </c>
      <c r="M105" s="21">
        <v>5246</v>
      </c>
    </row>
    <row r="106" spans="1:13">
      <c r="A106" s="4">
        <v>104</v>
      </c>
      <c r="B106" s="4" t="s">
        <v>37</v>
      </c>
      <c r="C106" s="37" t="s">
        <v>37</v>
      </c>
      <c r="D106" s="19">
        <v>45774</v>
      </c>
      <c r="E106" s="6" t="s">
        <v>82</v>
      </c>
      <c r="F106" s="7" t="s">
        <v>20</v>
      </c>
      <c r="G106" s="1">
        <v>0.33333333333333331</v>
      </c>
      <c r="H106" s="33">
        <v>0.75</v>
      </c>
      <c r="I106" s="1" t="s">
        <v>16</v>
      </c>
      <c r="J106" s="2" t="s">
        <v>21</v>
      </c>
      <c r="K106" s="10" t="str">
        <f t="shared" si="2"/>
        <v>10.0</v>
      </c>
      <c r="L106" s="8">
        <v>171598</v>
      </c>
      <c r="M106" s="8">
        <v>5654</v>
      </c>
    </row>
    <row r="107" spans="1:13" hidden="1">
      <c r="A107" s="4">
        <v>105</v>
      </c>
      <c r="B107" s="4" t="s">
        <v>55</v>
      </c>
      <c r="C107" s="37" t="s">
        <v>55</v>
      </c>
      <c r="D107" s="19">
        <v>45775</v>
      </c>
      <c r="E107" s="25" t="s">
        <v>67</v>
      </c>
      <c r="F107" s="7" t="s">
        <v>163</v>
      </c>
      <c r="G107" s="1">
        <v>0.5625</v>
      </c>
      <c r="H107" s="33">
        <v>0.91666666666666663</v>
      </c>
      <c r="I107" s="1" t="s">
        <v>163</v>
      </c>
      <c r="J107" s="42" t="s">
        <v>36</v>
      </c>
      <c r="K107" s="10" t="str">
        <f>TEXT((VALUE(H107)-VALUE(G107))*24,"0.0")</f>
        <v>8.5</v>
      </c>
      <c r="L107" s="8">
        <v>85619</v>
      </c>
      <c r="M107" s="8">
        <v>2680</v>
      </c>
    </row>
    <row r="108" spans="1:13">
      <c r="A108" s="36">
        <v>106</v>
      </c>
      <c r="B108" s="4" t="s">
        <v>37</v>
      </c>
      <c r="C108" s="37" t="s">
        <v>37</v>
      </c>
      <c r="D108" s="19">
        <v>45775</v>
      </c>
      <c r="E108" s="25" t="s">
        <v>186</v>
      </c>
      <c r="F108" s="7" t="s">
        <v>45</v>
      </c>
      <c r="G108" s="7">
        <v>0.33333333333333331</v>
      </c>
      <c r="H108" s="33">
        <v>0.66666666666666663</v>
      </c>
      <c r="I108" s="7" t="s">
        <v>45</v>
      </c>
      <c r="J108" s="7" t="s">
        <v>45</v>
      </c>
      <c r="K108" s="10" t="str">
        <f>TEXT((VALUE(H108)-VALUE(G108))*24,"0.0")</f>
        <v>8.0</v>
      </c>
      <c r="L108" s="24">
        <v>77499</v>
      </c>
      <c r="M108" s="24">
        <v>2222</v>
      </c>
    </row>
    <row r="109" spans="1:13">
      <c r="A109" s="36">
        <v>107</v>
      </c>
      <c r="B109" s="4" t="s">
        <v>73</v>
      </c>
      <c r="C109" s="37" t="s">
        <v>95</v>
      </c>
      <c r="D109" s="19">
        <v>45778</v>
      </c>
      <c r="E109" s="25" t="s">
        <v>27</v>
      </c>
      <c r="F109" s="7" t="s">
        <v>28</v>
      </c>
      <c r="G109" s="7">
        <v>0.58333333333333337</v>
      </c>
      <c r="H109" s="1">
        <v>0.91666666666666663</v>
      </c>
      <c r="I109" s="20" t="s">
        <v>28</v>
      </c>
      <c r="J109" s="2" t="s">
        <v>18</v>
      </c>
      <c r="K109" s="10" t="str">
        <f t="shared" si="2"/>
        <v>8.0</v>
      </c>
      <c r="L109" s="29">
        <v>114261</v>
      </c>
      <c r="M109" s="8">
        <v>3014</v>
      </c>
    </row>
    <row r="110" spans="1:13" hidden="1">
      <c r="A110" s="4">
        <v>108</v>
      </c>
      <c r="B110" s="4" t="s">
        <v>55</v>
      </c>
      <c r="C110" s="37" t="s">
        <v>96</v>
      </c>
      <c r="D110" s="19">
        <v>45779</v>
      </c>
      <c r="E110" s="25" t="s">
        <v>67</v>
      </c>
      <c r="F110" s="7" t="s">
        <v>163</v>
      </c>
      <c r="G110" s="7">
        <v>0.5625</v>
      </c>
      <c r="H110" s="1">
        <v>0.91666666666666663</v>
      </c>
      <c r="I110" s="7" t="s">
        <v>163</v>
      </c>
      <c r="J110" s="2" t="s">
        <v>36</v>
      </c>
      <c r="K110" s="10" t="str">
        <f t="shared" si="2"/>
        <v>8.5</v>
      </c>
      <c r="L110" s="8">
        <v>85619</v>
      </c>
      <c r="M110" s="8">
        <v>2680</v>
      </c>
    </row>
    <row r="111" spans="1:13">
      <c r="A111" s="4">
        <v>109</v>
      </c>
      <c r="B111" s="4" t="s">
        <v>37</v>
      </c>
      <c r="C111" s="37" t="s">
        <v>95</v>
      </c>
      <c r="D111" s="19">
        <v>45780</v>
      </c>
      <c r="E111" s="20" t="s">
        <v>75</v>
      </c>
      <c r="F111" s="7" t="s">
        <v>98</v>
      </c>
      <c r="G111" s="9">
        <v>0.45833333333333331</v>
      </c>
      <c r="H111" s="33">
        <v>0.875</v>
      </c>
      <c r="I111" s="1" t="s">
        <v>98</v>
      </c>
      <c r="J111" s="2" t="s">
        <v>98</v>
      </c>
      <c r="K111" s="10" t="str">
        <f t="shared" si="2"/>
        <v>10.0</v>
      </c>
      <c r="L111" s="21">
        <v>135500</v>
      </c>
      <c r="M111" s="21">
        <v>5246</v>
      </c>
    </row>
    <row r="112" spans="1:13" hidden="1">
      <c r="A112" s="36">
        <v>110</v>
      </c>
      <c r="B112" s="4" t="s">
        <v>85</v>
      </c>
      <c r="C112" s="37" t="s">
        <v>96</v>
      </c>
      <c r="D112" s="19">
        <v>45780</v>
      </c>
      <c r="E112" s="6" t="s">
        <v>184</v>
      </c>
      <c r="F112" s="7" t="s">
        <v>45</v>
      </c>
      <c r="G112" s="1">
        <v>0.41666666666666669</v>
      </c>
      <c r="H112" s="1">
        <v>0.75</v>
      </c>
      <c r="I112" s="7" t="s">
        <v>36</v>
      </c>
      <c r="J112" s="7" t="s">
        <v>45</v>
      </c>
      <c r="K112" s="10" t="str">
        <f t="shared" si="2"/>
        <v>8.0</v>
      </c>
      <c r="L112" s="24">
        <v>77499</v>
      </c>
      <c r="M112" s="24">
        <v>2222</v>
      </c>
    </row>
    <row r="113" spans="1:13">
      <c r="A113" s="36">
        <v>111</v>
      </c>
      <c r="B113" s="4" t="s">
        <v>42</v>
      </c>
      <c r="C113" s="37" t="s">
        <v>95</v>
      </c>
      <c r="D113" s="19">
        <v>45781</v>
      </c>
      <c r="E113" s="25" t="s">
        <v>43</v>
      </c>
      <c r="F113" s="2" t="s">
        <v>45</v>
      </c>
      <c r="G113" s="7">
        <v>0.375</v>
      </c>
      <c r="H113" s="1">
        <v>0.79166666666666663</v>
      </c>
      <c r="I113" s="4" t="s">
        <v>44</v>
      </c>
      <c r="J113" s="2" t="s">
        <v>45</v>
      </c>
      <c r="K113" s="10" t="str">
        <f t="shared" si="2"/>
        <v>10.0</v>
      </c>
      <c r="L113" s="29">
        <v>168666</v>
      </c>
      <c r="M113" s="24">
        <v>4919</v>
      </c>
    </row>
    <row r="114" spans="1:13">
      <c r="A114" s="4">
        <v>112</v>
      </c>
      <c r="B114" s="4" t="s">
        <v>37</v>
      </c>
      <c r="C114" s="37" t="s">
        <v>95</v>
      </c>
      <c r="D114" s="19">
        <v>45783</v>
      </c>
      <c r="E114" s="20" t="s">
        <v>75</v>
      </c>
      <c r="F114" s="7" t="s">
        <v>98</v>
      </c>
      <c r="G114" s="1">
        <v>0.58333333333333337</v>
      </c>
      <c r="H114" s="1">
        <v>0.9375</v>
      </c>
      <c r="I114" s="1" t="s">
        <v>98</v>
      </c>
      <c r="J114" s="2" t="s">
        <v>72</v>
      </c>
      <c r="K114" s="10" t="str">
        <f t="shared" si="2"/>
        <v>8.5</v>
      </c>
      <c r="L114" s="21">
        <v>135500</v>
      </c>
      <c r="M114" s="21">
        <v>5246</v>
      </c>
    </row>
    <row r="115" spans="1:13" hidden="1">
      <c r="A115" s="4">
        <v>113</v>
      </c>
      <c r="B115" s="4" t="s">
        <v>55</v>
      </c>
      <c r="C115" s="37" t="s">
        <v>55</v>
      </c>
      <c r="D115" s="19">
        <v>45783</v>
      </c>
      <c r="E115" s="25" t="s">
        <v>67</v>
      </c>
      <c r="F115" s="7" t="s">
        <v>163</v>
      </c>
      <c r="G115" s="1">
        <v>0.5625</v>
      </c>
      <c r="H115" s="1">
        <v>0.89583333333333337</v>
      </c>
      <c r="I115" s="1" t="s">
        <v>163</v>
      </c>
      <c r="J115" s="42" t="s">
        <v>183</v>
      </c>
      <c r="K115" s="10" t="str">
        <f t="shared" si="2"/>
        <v>8.0</v>
      </c>
      <c r="L115" s="8">
        <v>85619</v>
      </c>
      <c r="M115" s="8">
        <v>2680</v>
      </c>
    </row>
    <row r="116" spans="1:13">
      <c r="A116" s="36">
        <v>114</v>
      </c>
      <c r="B116" s="4" t="s">
        <v>194</v>
      </c>
      <c r="C116" s="37" t="s">
        <v>37</v>
      </c>
      <c r="D116" s="19">
        <v>45784</v>
      </c>
      <c r="E116" s="25" t="s">
        <v>76</v>
      </c>
      <c r="F116" s="7" t="s">
        <v>148</v>
      </c>
      <c r="G116" s="1">
        <v>0.33333333333333331</v>
      </c>
      <c r="H116" s="1">
        <v>0.75</v>
      </c>
      <c r="I116" s="7" t="s">
        <v>148</v>
      </c>
      <c r="J116" s="42" t="s">
        <v>36</v>
      </c>
      <c r="K116" s="10" t="str">
        <f t="shared" si="2"/>
        <v>10.0</v>
      </c>
      <c r="L116" s="8">
        <v>137936</v>
      </c>
      <c r="M116" s="8">
        <v>4363</v>
      </c>
    </row>
    <row r="117" spans="1:13" hidden="1">
      <c r="A117" s="36">
        <v>115</v>
      </c>
      <c r="B117" s="4" t="s">
        <v>85</v>
      </c>
      <c r="C117" s="37" t="s">
        <v>96</v>
      </c>
      <c r="D117" s="19">
        <v>45785</v>
      </c>
      <c r="E117" s="6" t="s">
        <v>184</v>
      </c>
      <c r="F117" s="7" t="s">
        <v>45</v>
      </c>
      <c r="G117" s="1">
        <v>0.41666666666666669</v>
      </c>
      <c r="H117" s="1">
        <v>0.75</v>
      </c>
      <c r="I117" s="22" t="s">
        <v>36</v>
      </c>
      <c r="J117" s="7" t="s">
        <v>45</v>
      </c>
      <c r="K117" s="10" t="str">
        <f t="shared" si="2"/>
        <v>8.0</v>
      </c>
      <c r="L117" s="24">
        <v>77499</v>
      </c>
      <c r="M117" s="24">
        <v>2222</v>
      </c>
    </row>
    <row r="118" spans="1:13" hidden="1">
      <c r="A118" s="4">
        <v>116</v>
      </c>
      <c r="B118" s="4" t="s">
        <v>55</v>
      </c>
      <c r="C118" s="37" t="s">
        <v>96</v>
      </c>
      <c r="D118" s="19">
        <v>45786</v>
      </c>
      <c r="E118" s="25" t="s">
        <v>74</v>
      </c>
      <c r="F118" s="9" t="s">
        <v>60</v>
      </c>
      <c r="G118" s="7">
        <v>0.29166666666666669</v>
      </c>
      <c r="H118" s="1">
        <v>0.72916666666666663</v>
      </c>
      <c r="I118" s="20" t="s">
        <v>70</v>
      </c>
      <c r="J118" s="2" t="s">
        <v>36</v>
      </c>
      <c r="K118" s="10" t="str">
        <f t="shared" si="2"/>
        <v>10.5</v>
      </c>
      <c r="L118" s="29">
        <v>90901</v>
      </c>
      <c r="M118" s="24">
        <v>2503</v>
      </c>
    </row>
    <row r="119" spans="1:13" hidden="1">
      <c r="A119" s="4">
        <v>117</v>
      </c>
      <c r="B119" s="4" t="s">
        <v>96</v>
      </c>
      <c r="C119" s="37" t="s">
        <v>96</v>
      </c>
      <c r="D119" s="19">
        <v>45787</v>
      </c>
      <c r="E119" s="3" t="s">
        <v>19</v>
      </c>
      <c r="F119" s="5" t="s">
        <v>20</v>
      </c>
      <c r="G119" s="5">
        <v>0.29166666666666669</v>
      </c>
      <c r="H119" s="33">
        <v>0.66666666666666663</v>
      </c>
      <c r="I119" s="4" t="s">
        <v>22</v>
      </c>
      <c r="J119" s="13" t="s">
        <v>21</v>
      </c>
      <c r="K119" s="10" t="str">
        <f t="shared" si="2"/>
        <v>9.0</v>
      </c>
      <c r="L119" s="8">
        <v>91011</v>
      </c>
      <c r="M119" s="24">
        <v>2593</v>
      </c>
    </row>
    <row r="120" spans="1:13">
      <c r="A120" s="36">
        <v>118</v>
      </c>
      <c r="B120" s="4" t="s">
        <v>37</v>
      </c>
      <c r="C120" s="37" t="s">
        <v>95</v>
      </c>
      <c r="D120" s="19">
        <v>45787</v>
      </c>
      <c r="E120" s="20" t="s">
        <v>75</v>
      </c>
      <c r="F120" s="7" t="s">
        <v>98</v>
      </c>
      <c r="G120" s="1">
        <v>0.58333333333333337</v>
      </c>
      <c r="H120" s="1">
        <v>0.9375</v>
      </c>
      <c r="I120" s="1" t="s">
        <v>98</v>
      </c>
      <c r="J120" s="13" t="s">
        <v>36</v>
      </c>
      <c r="K120" s="10" t="str">
        <f t="shared" si="2"/>
        <v>8.5</v>
      </c>
      <c r="L120" s="21">
        <v>135500</v>
      </c>
      <c r="M120" s="21">
        <v>5246</v>
      </c>
    </row>
    <row r="121" spans="1:13">
      <c r="A121" s="36">
        <v>119</v>
      </c>
      <c r="B121" s="4" t="s">
        <v>37</v>
      </c>
      <c r="C121" s="37" t="s">
        <v>95</v>
      </c>
      <c r="D121" s="19">
        <v>45788</v>
      </c>
      <c r="E121" s="26" t="s">
        <v>39</v>
      </c>
      <c r="F121" s="27" t="s">
        <v>98</v>
      </c>
      <c r="G121" s="27">
        <v>0.54166666666666663</v>
      </c>
      <c r="H121" s="1">
        <v>0.875</v>
      </c>
      <c r="I121" s="27" t="s">
        <v>98</v>
      </c>
      <c r="J121" s="2" t="s">
        <v>40</v>
      </c>
      <c r="K121" s="10" t="str">
        <f t="shared" si="2"/>
        <v>8.0</v>
      </c>
      <c r="L121" s="28">
        <v>169379</v>
      </c>
      <c r="M121" s="16">
        <v>5622</v>
      </c>
    </row>
    <row r="122" spans="1:13" hidden="1">
      <c r="A122" s="4">
        <v>120</v>
      </c>
      <c r="B122" s="4" t="s">
        <v>55</v>
      </c>
      <c r="C122" s="37" t="s">
        <v>96</v>
      </c>
      <c r="D122" s="19">
        <v>45788</v>
      </c>
      <c r="E122" s="26" t="s">
        <v>66</v>
      </c>
      <c r="F122" s="2" t="s">
        <v>45</v>
      </c>
      <c r="G122" s="27">
        <v>0.29166666666666669</v>
      </c>
      <c r="H122" s="1">
        <v>0.625</v>
      </c>
      <c r="I122" s="2" t="s">
        <v>45</v>
      </c>
      <c r="J122" s="2" t="s">
        <v>13</v>
      </c>
      <c r="K122" s="10" t="str">
        <f t="shared" si="2"/>
        <v>8.0</v>
      </c>
      <c r="L122" s="8">
        <v>85619</v>
      </c>
      <c r="M122" s="8">
        <v>2680</v>
      </c>
    </row>
    <row r="123" spans="1:13" hidden="1">
      <c r="A123" s="4">
        <v>121</v>
      </c>
      <c r="B123" s="4" t="s">
        <v>85</v>
      </c>
      <c r="C123" s="37" t="s">
        <v>96</v>
      </c>
      <c r="D123" s="19">
        <v>45789</v>
      </c>
      <c r="E123" s="6" t="s">
        <v>15</v>
      </c>
      <c r="F123" s="20" t="s">
        <v>65</v>
      </c>
      <c r="G123" s="1">
        <v>0.33333333333333331</v>
      </c>
      <c r="H123" s="1">
        <v>0.66666666666666663</v>
      </c>
      <c r="I123" s="20" t="s">
        <v>13</v>
      </c>
      <c r="J123" s="2" t="s">
        <v>54</v>
      </c>
      <c r="K123" s="10" t="str">
        <f t="shared" si="2"/>
        <v>8.0</v>
      </c>
      <c r="L123" s="23">
        <v>75904</v>
      </c>
      <c r="M123" s="8">
        <v>2018</v>
      </c>
    </row>
    <row r="124" spans="1:13">
      <c r="A124" s="36">
        <v>122</v>
      </c>
      <c r="B124" s="4" t="s">
        <v>42</v>
      </c>
      <c r="C124" s="37" t="s">
        <v>95</v>
      </c>
      <c r="D124" s="19">
        <v>45790</v>
      </c>
      <c r="E124" s="25" t="s">
        <v>43</v>
      </c>
      <c r="F124" s="2" t="s">
        <v>45</v>
      </c>
      <c r="G124" s="9">
        <v>0.29166666666666669</v>
      </c>
      <c r="H124" s="33">
        <v>0.75</v>
      </c>
      <c r="I124" s="2" t="s">
        <v>45</v>
      </c>
      <c r="J124" s="4" t="s">
        <v>44</v>
      </c>
      <c r="K124" s="10" t="str">
        <f t="shared" si="2"/>
        <v>11.0</v>
      </c>
      <c r="L124" s="29">
        <v>168666</v>
      </c>
      <c r="M124" s="24">
        <v>4919</v>
      </c>
    </row>
    <row r="125" spans="1:13" hidden="1">
      <c r="A125" s="36">
        <v>123</v>
      </c>
      <c r="B125" s="4" t="s">
        <v>85</v>
      </c>
      <c r="C125" s="37" t="s">
        <v>96</v>
      </c>
      <c r="D125" s="19">
        <v>45790</v>
      </c>
      <c r="E125" s="6" t="s">
        <v>184</v>
      </c>
      <c r="F125" s="7" t="s">
        <v>45</v>
      </c>
      <c r="G125" s="1">
        <v>0.41666666666666669</v>
      </c>
      <c r="H125" s="1">
        <v>0.75</v>
      </c>
      <c r="I125" s="20" t="s">
        <v>29</v>
      </c>
      <c r="J125" s="7" t="s">
        <v>45</v>
      </c>
      <c r="K125" s="10" t="str">
        <f t="shared" si="2"/>
        <v>8.0</v>
      </c>
      <c r="L125" s="24">
        <v>77499</v>
      </c>
      <c r="M125" s="24">
        <v>2222</v>
      </c>
    </row>
    <row r="126" spans="1:13" hidden="1">
      <c r="A126" s="4">
        <v>124</v>
      </c>
      <c r="B126" s="4" t="s">
        <v>85</v>
      </c>
      <c r="C126" s="37" t="s">
        <v>96</v>
      </c>
      <c r="D126" s="19">
        <v>45791</v>
      </c>
      <c r="E126" s="6" t="s">
        <v>30</v>
      </c>
      <c r="F126" s="14" t="s">
        <v>92</v>
      </c>
      <c r="G126" s="7">
        <v>0.54166666666666663</v>
      </c>
      <c r="H126" s="33">
        <v>0.875</v>
      </c>
      <c r="I126" s="30" t="s">
        <v>65</v>
      </c>
      <c r="J126" s="2" t="s">
        <v>18</v>
      </c>
      <c r="K126" s="10" t="str">
        <f t="shared" si="2"/>
        <v>8.0</v>
      </c>
      <c r="L126" s="8">
        <v>30277</v>
      </c>
      <c r="M126" s="8">
        <v>803</v>
      </c>
    </row>
    <row r="127" spans="1:13">
      <c r="A127" s="4">
        <v>125</v>
      </c>
      <c r="B127" s="4" t="s">
        <v>37</v>
      </c>
      <c r="C127" s="37" t="s">
        <v>95</v>
      </c>
      <c r="D127" s="19">
        <v>45791</v>
      </c>
      <c r="E127" s="20" t="s">
        <v>75</v>
      </c>
      <c r="F127" s="7" t="s">
        <v>98</v>
      </c>
      <c r="G127" s="1">
        <v>0.58333333333333337</v>
      </c>
      <c r="H127" s="1">
        <v>0.9375</v>
      </c>
      <c r="I127" s="1" t="s">
        <v>98</v>
      </c>
      <c r="J127" s="2" t="s">
        <v>36</v>
      </c>
      <c r="K127" s="10" t="str">
        <f t="shared" si="2"/>
        <v>8.5</v>
      </c>
      <c r="L127" s="21">
        <v>135500</v>
      </c>
      <c r="M127" s="21">
        <v>5246</v>
      </c>
    </row>
    <row r="128" spans="1:13">
      <c r="A128" s="36">
        <v>126</v>
      </c>
      <c r="B128" s="4" t="s">
        <v>37</v>
      </c>
      <c r="C128" s="37" t="s">
        <v>181</v>
      </c>
      <c r="D128" s="19">
        <v>45792</v>
      </c>
      <c r="E128" s="25" t="s">
        <v>82</v>
      </c>
      <c r="F128" s="7" t="s">
        <v>28</v>
      </c>
      <c r="G128" s="7">
        <v>0.58333333333333337</v>
      </c>
      <c r="H128" s="1">
        <v>0.875</v>
      </c>
      <c r="I128" s="7" t="s">
        <v>28</v>
      </c>
      <c r="J128" s="2" t="s">
        <v>29</v>
      </c>
      <c r="K128" s="10" t="str">
        <f t="shared" si="2"/>
        <v>7.0</v>
      </c>
      <c r="L128" s="8">
        <v>171598</v>
      </c>
      <c r="M128" s="8">
        <v>5654</v>
      </c>
    </row>
    <row r="129" spans="1:13" hidden="1">
      <c r="A129" s="36">
        <v>127</v>
      </c>
      <c r="B129" s="4" t="s">
        <v>55</v>
      </c>
      <c r="C129" s="37" t="s">
        <v>96</v>
      </c>
      <c r="D129" s="19">
        <v>45792</v>
      </c>
      <c r="E129" s="6" t="s">
        <v>15</v>
      </c>
      <c r="F129" s="20" t="s">
        <v>65</v>
      </c>
      <c r="G129" s="7">
        <v>0.375</v>
      </c>
      <c r="H129" s="1">
        <v>0.70833333333333337</v>
      </c>
      <c r="I129" s="30" t="s">
        <v>65</v>
      </c>
      <c r="J129" s="2" t="s">
        <v>18</v>
      </c>
      <c r="K129" s="10" t="str">
        <f t="shared" si="2"/>
        <v>8.0</v>
      </c>
      <c r="L129" s="23">
        <v>75904</v>
      </c>
      <c r="M129" s="8">
        <v>2018</v>
      </c>
    </row>
    <row r="130" spans="1:13" hidden="1">
      <c r="A130" s="4">
        <v>128</v>
      </c>
      <c r="B130" s="4" t="s">
        <v>55</v>
      </c>
      <c r="C130" s="37" t="s">
        <v>96</v>
      </c>
      <c r="D130" s="19">
        <v>45793</v>
      </c>
      <c r="E130" s="26" t="s">
        <v>66</v>
      </c>
      <c r="F130" s="2" t="s">
        <v>45</v>
      </c>
      <c r="G130" s="27">
        <v>0.41666666666666669</v>
      </c>
      <c r="H130" s="1">
        <v>0.75</v>
      </c>
      <c r="I130" s="2" t="s">
        <v>45</v>
      </c>
      <c r="J130" s="2" t="s">
        <v>36</v>
      </c>
      <c r="K130" s="10" t="str">
        <f t="shared" si="2"/>
        <v>8.0</v>
      </c>
      <c r="L130" s="8">
        <v>85619</v>
      </c>
      <c r="M130" s="8">
        <v>2680</v>
      </c>
    </row>
    <row r="131" spans="1:13" hidden="1">
      <c r="A131" s="4">
        <v>129</v>
      </c>
      <c r="B131" s="4" t="s">
        <v>85</v>
      </c>
      <c r="C131" s="37" t="s">
        <v>96</v>
      </c>
      <c r="D131" s="19">
        <v>45794</v>
      </c>
      <c r="E131" s="6" t="s">
        <v>184</v>
      </c>
      <c r="F131" s="7" t="s">
        <v>45</v>
      </c>
      <c r="G131" s="1">
        <v>0.33333333333333331</v>
      </c>
      <c r="H131" s="1">
        <v>0.66666666666666663</v>
      </c>
      <c r="I131" s="7" t="s">
        <v>45</v>
      </c>
      <c r="J131" s="7" t="s">
        <v>36</v>
      </c>
      <c r="K131" s="10" t="str">
        <f t="shared" ref="K131:K189" si="3">TEXT((VALUE(H131)-VALUE(G131))*24,"0.0")</f>
        <v>8.0</v>
      </c>
      <c r="L131" s="24">
        <v>77499</v>
      </c>
      <c r="M131" s="24">
        <v>2222</v>
      </c>
    </row>
    <row r="132" spans="1:13" hidden="1">
      <c r="A132" s="36">
        <v>130</v>
      </c>
      <c r="B132" s="4" t="s">
        <v>55</v>
      </c>
      <c r="C132" s="37" t="s">
        <v>96</v>
      </c>
      <c r="D132" s="19">
        <v>45798</v>
      </c>
      <c r="E132" s="26" t="s">
        <v>66</v>
      </c>
      <c r="F132" s="2" t="s">
        <v>45</v>
      </c>
      <c r="G132" s="27">
        <v>0.33333333333333331</v>
      </c>
      <c r="H132" s="1">
        <v>0.66666666666666663</v>
      </c>
      <c r="I132" s="2" t="s">
        <v>45</v>
      </c>
      <c r="J132" s="2" t="s">
        <v>36</v>
      </c>
      <c r="K132" s="10" t="str">
        <f t="shared" si="3"/>
        <v>8.0</v>
      </c>
      <c r="L132" s="8">
        <v>85619</v>
      </c>
      <c r="M132" s="8">
        <v>2680</v>
      </c>
    </row>
    <row r="133" spans="1:13">
      <c r="A133" s="36">
        <v>131</v>
      </c>
      <c r="B133" s="4" t="s">
        <v>161</v>
      </c>
      <c r="C133" s="37" t="s">
        <v>161</v>
      </c>
      <c r="D133" s="19">
        <v>45798</v>
      </c>
      <c r="E133" s="26" t="s">
        <v>76</v>
      </c>
      <c r="F133" s="2" t="s">
        <v>45</v>
      </c>
      <c r="G133" s="27">
        <v>0.29166666666666669</v>
      </c>
      <c r="H133" s="1">
        <v>0.75</v>
      </c>
      <c r="I133" s="2" t="s">
        <v>45</v>
      </c>
      <c r="J133" s="4" t="s">
        <v>18</v>
      </c>
      <c r="K133" s="10" t="str">
        <f t="shared" si="3"/>
        <v>11.0</v>
      </c>
      <c r="L133" s="68">
        <v>137936</v>
      </c>
      <c r="M133" s="8">
        <v>4363</v>
      </c>
    </row>
    <row r="134" spans="1:13">
      <c r="A134" s="4">
        <v>132</v>
      </c>
      <c r="B134" s="4" t="s">
        <v>37</v>
      </c>
      <c r="C134" s="37" t="s">
        <v>95</v>
      </c>
      <c r="D134" s="19">
        <v>45799</v>
      </c>
      <c r="E134" s="20" t="s">
        <v>75</v>
      </c>
      <c r="F134" s="7" t="s">
        <v>98</v>
      </c>
      <c r="G134" s="1">
        <v>0.58333333333333337</v>
      </c>
      <c r="H134" s="1">
        <v>0.9375</v>
      </c>
      <c r="I134" s="1" t="s">
        <v>98</v>
      </c>
      <c r="J134" s="2" t="s">
        <v>72</v>
      </c>
      <c r="K134" s="10" t="str">
        <f t="shared" si="3"/>
        <v>8.5</v>
      </c>
      <c r="L134" s="21">
        <v>135500</v>
      </c>
      <c r="M134" s="21">
        <v>5246</v>
      </c>
    </row>
    <row r="135" spans="1:13" hidden="1">
      <c r="A135" s="4">
        <v>133</v>
      </c>
      <c r="B135" s="4" t="s">
        <v>85</v>
      </c>
      <c r="C135" s="37" t="s">
        <v>96</v>
      </c>
      <c r="D135" s="19">
        <v>45799</v>
      </c>
      <c r="E135" s="6" t="s">
        <v>184</v>
      </c>
      <c r="F135" s="7" t="s">
        <v>45</v>
      </c>
      <c r="G135" s="1">
        <v>0.33333333333333331</v>
      </c>
      <c r="H135" s="1">
        <v>0.66666666666666663</v>
      </c>
      <c r="I135" s="7" t="s">
        <v>45</v>
      </c>
      <c r="J135" s="20" t="s">
        <v>18</v>
      </c>
      <c r="K135" s="10" t="str">
        <f t="shared" si="3"/>
        <v>8.0</v>
      </c>
      <c r="L135" s="24">
        <v>77499</v>
      </c>
      <c r="M135" s="24">
        <v>2222</v>
      </c>
    </row>
    <row r="136" spans="1:13">
      <c r="A136" s="36">
        <v>134</v>
      </c>
      <c r="B136" s="4" t="s">
        <v>37</v>
      </c>
      <c r="C136" s="37" t="s">
        <v>37</v>
      </c>
      <c r="D136" s="19">
        <v>45801</v>
      </c>
      <c r="E136" s="26" t="s">
        <v>39</v>
      </c>
      <c r="F136" s="27" t="s">
        <v>98</v>
      </c>
      <c r="G136" s="27">
        <v>0.54166666666666663</v>
      </c>
      <c r="H136" s="1">
        <v>0.875</v>
      </c>
      <c r="I136" s="27" t="s">
        <v>98</v>
      </c>
      <c r="J136" s="27" t="s">
        <v>98</v>
      </c>
      <c r="K136" s="10" t="str">
        <f t="shared" si="3"/>
        <v>8.0</v>
      </c>
      <c r="L136" s="28">
        <v>169379</v>
      </c>
      <c r="M136" s="16">
        <v>5622</v>
      </c>
    </row>
    <row r="137" spans="1:13">
      <c r="A137" s="36">
        <v>135</v>
      </c>
      <c r="B137" s="4" t="s">
        <v>37</v>
      </c>
      <c r="C137" s="37" t="s">
        <v>37</v>
      </c>
      <c r="D137" s="19">
        <v>45801</v>
      </c>
      <c r="E137" s="6" t="s">
        <v>82</v>
      </c>
      <c r="F137" s="7" t="s">
        <v>20</v>
      </c>
      <c r="G137" s="1">
        <v>0.33333333333333331</v>
      </c>
      <c r="H137" s="33">
        <v>0.75</v>
      </c>
      <c r="I137" s="1" t="s">
        <v>16</v>
      </c>
      <c r="J137" s="2" t="s">
        <v>21</v>
      </c>
      <c r="K137" s="10" t="str">
        <f t="shared" si="3"/>
        <v>10.0</v>
      </c>
      <c r="L137" s="8">
        <v>171598</v>
      </c>
      <c r="M137" s="8">
        <v>5654</v>
      </c>
    </row>
    <row r="138" spans="1:13" hidden="1">
      <c r="A138" s="4">
        <v>136</v>
      </c>
      <c r="B138" s="4" t="s">
        <v>55</v>
      </c>
      <c r="C138" s="37" t="s">
        <v>96</v>
      </c>
      <c r="D138" s="19">
        <v>45803</v>
      </c>
      <c r="E138" s="26" t="s">
        <v>66</v>
      </c>
      <c r="F138" s="2" t="s">
        <v>45</v>
      </c>
      <c r="G138" s="27">
        <v>0.33333333333333331</v>
      </c>
      <c r="H138" s="1">
        <v>0.66666666666666663</v>
      </c>
      <c r="I138" s="2" t="s">
        <v>45</v>
      </c>
      <c r="J138" s="2" t="s">
        <v>72</v>
      </c>
      <c r="K138" s="10" t="str">
        <f t="shared" si="3"/>
        <v>8.0</v>
      </c>
      <c r="L138" s="8">
        <v>85619</v>
      </c>
      <c r="M138" s="8">
        <v>2680</v>
      </c>
    </row>
    <row r="139" spans="1:13">
      <c r="A139" s="4">
        <v>137</v>
      </c>
      <c r="B139" s="4" t="s">
        <v>37</v>
      </c>
      <c r="C139" s="37" t="s">
        <v>37</v>
      </c>
      <c r="D139" s="19">
        <v>45803</v>
      </c>
      <c r="E139" s="26" t="s">
        <v>76</v>
      </c>
      <c r="F139" s="7" t="s">
        <v>45</v>
      </c>
      <c r="G139" s="1">
        <v>0.29166666666666669</v>
      </c>
      <c r="H139" s="1">
        <v>0.79166666666666663</v>
      </c>
      <c r="I139" s="7" t="s">
        <v>45</v>
      </c>
      <c r="J139" s="1" t="s">
        <v>98</v>
      </c>
      <c r="K139" s="10" t="str">
        <f t="shared" si="3"/>
        <v>12.0</v>
      </c>
      <c r="L139" s="68">
        <v>137936</v>
      </c>
      <c r="M139" s="8">
        <v>4363</v>
      </c>
    </row>
    <row r="140" spans="1:13" hidden="1">
      <c r="A140" s="36">
        <v>138</v>
      </c>
      <c r="B140" s="4" t="s">
        <v>55</v>
      </c>
      <c r="C140" s="37" t="s">
        <v>55</v>
      </c>
      <c r="D140" s="19">
        <v>45805</v>
      </c>
      <c r="E140" s="26" t="s">
        <v>186</v>
      </c>
      <c r="F140" s="7" t="s">
        <v>45</v>
      </c>
      <c r="G140" s="7">
        <v>0.41666666666666669</v>
      </c>
      <c r="H140" s="1">
        <v>0.75</v>
      </c>
      <c r="I140" s="7" t="s">
        <v>36</v>
      </c>
      <c r="J140" s="1" t="s">
        <v>45</v>
      </c>
      <c r="K140" s="10" t="str">
        <f t="shared" si="3"/>
        <v>8.0</v>
      </c>
      <c r="L140" s="24">
        <v>77499</v>
      </c>
      <c r="M140" s="24">
        <v>2222</v>
      </c>
    </row>
    <row r="141" spans="1:13" hidden="1">
      <c r="A141" s="36">
        <v>139</v>
      </c>
      <c r="B141" s="4" t="s">
        <v>55</v>
      </c>
      <c r="C141" s="37" t="s">
        <v>96</v>
      </c>
      <c r="D141" s="19">
        <v>45808</v>
      </c>
      <c r="E141" s="26" t="s">
        <v>66</v>
      </c>
      <c r="F141" s="2" t="s">
        <v>45</v>
      </c>
      <c r="G141" s="27">
        <v>0.33333333333333331</v>
      </c>
      <c r="H141" s="1">
        <v>0.66666666666666663</v>
      </c>
      <c r="I141" s="2" t="s">
        <v>45</v>
      </c>
      <c r="J141" s="2" t="s">
        <v>36</v>
      </c>
      <c r="K141" s="10" t="str">
        <f t="shared" si="3"/>
        <v>8.0</v>
      </c>
      <c r="L141" s="8">
        <v>85619</v>
      </c>
      <c r="M141" s="8">
        <v>2680</v>
      </c>
    </row>
    <row r="142" spans="1:13">
      <c r="A142" s="4">
        <v>140</v>
      </c>
      <c r="B142" s="4" t="s">
        <v>85</v>
      </c>
      <c r="C142" s="37" t="s">
        <v>95</v>
      </c>
      <c r="D142" s="19">
        <v>45808</v>
      </c>
      <c r="E142" s="6" t="s">
        <v>184</v>
      </c>
      <c r="F142" s="7" t="s">
        <v>45</v>
      </c>
      <c r="G142" s="1">
        <v>0.375</v>
      </c>
      <c r="H142" s="1">
        <v>0.70833333333333337</v>
      </c>
      <c r="I142" s="7" t="s">
        <v>45</v>
      </c>
      <c r="J142" s="7" t="s">
        <v>45</v>
      </c>
      <c r="K142" s="10" t="str">
        <f t="shared" si="3"/>
        <v>8.0</v>
      </c>
      <c r="L142" s="24">
        <v>77499</v>
      </c>
      <c r="M142" s="24">
        <v>2222</v>
      </c>
    </row>
    <row r="143" spans="1:13">
      <c r="A143" s="4">
        <v>141</v>
      </c>
      <c r="B143" s="4" t="s">
        <v>42</v>
      </c>
      <c r="C143" s="37" t="s">
        <v>95</v>
      </c>
      <c r="D143" s="19">
        <v>45809</v>
      </c>
      <c r="E143" s="25" t="s">
        <v>43</v>
      </c>
      <c r="F143" s="2" t="s">
        <v>45</v>
      </c>
      <c r="G143" s="1">
        <v>0.29166666666666669</v>
      </c>
      <c r="H143" s="33">
        <v>0.75</v>
      </c>
      <c r="I143" s="2" t="s">
        <v>45</v>
      </c>
      <c r="J143" s="4" t="s">
        <v>18</v>
      </c>
      <c r="K143" s="10" t="str">
        <f t="shared" si="3"/>
        <v>11.0</v>
      </c>
      <c r="L143" s="11">
        <v>168666</v>
      </c>
      <c r="M143" s="8">
        <v>4919</v>
      </c>
    </row>
    <row r="144" spans="1:13" hidden="1">
      <c r="A144" s="36">
        <v>142</v>
      </c>
      <c r="B144" s="4" t="s">
        <v>55</v>
      </c>
      <c r="C144" s="37" t="s">
        <v>55</v>
      </c>
      <c r="D144" s="19">
        <v>45810</v>
      </c>
      <c r="E144" s="6" t="s">
        <v>184</v>
      </c>
      <c r="F144" s="7" t="s">
        <v>45</v>
      </c>
      <c r="G144" s="7">
        <v>0.41666666666666669</v>
      </c>
      <c r="H144" s="1">
        <v>0.75</v>
      </c>
      <c r="I144" s="2" t="s">
        <v>187</v>
      </c>
      <c r="J144" s="4" t="s">
        <v>45</v>
      </c>
      <c r="K144" s="10" t="str">
        <f t="shared" si="3"/>
        <v>8.0</v>
      </c>
      <c r="L144" s="24">
        <v>77499</v>
      </c>
      <c r="M144" s="24">
        <v>2222</v>
      </c>
    </row>
    <row r="145" spans="1:13">
      <c r="A145" s="36">
        <v>143</v>
      </c>
      <c r="B145" s="4" t="s">
        <v>37</v>
      </c>
      <c r="C145" s="37" t="s">
        <v>95</v>
      </c>
      <c r="D145" s="19">
        <v>45810</v>
      </c>
      <c r="E145" s="6" t="s">
        <v>82</v>
      </c>
      <c r="F145" s="7" t="s">
        <v>20</v>
      </c>
      <c r="G145" s="1">
        <v>0.33333333333333331</v>
      </c>
      <c r="H145" s="33">
        <v>0.75</v>
      </c>
      <c r="I145" s="1" t="s">
        <v>16</v>
      </c>
      <c r="J145" s="2" t="s">
        <v>21</v>
      </c>
      <c r="K145" s="10" t="str">
        <f t="shared" si="3"/>
        <v>10.0</v>
      </c>
      <c r="L145" s="8">
        <v>171598</v>
      </c>
      <c r="M145" s="8">
        <v>5654</v>
      </c>
    </row>
    <row r="146" spans="1:13">
      <c r="A146" s="4">
        <v>144</v>
      </c>
      <c r="B146" s="4" t="s">
        <v>37</v>
      </c>
      <c r="C146" s="37" t="s">
        <v>95</v>
      </c>
      <c r="D146" s="19">
        <v>45812</v>
      </c>
      <c r="E146" s="20" t="s">
        <v>75</v>
      </c>
      <c r="F146" s="7" t="s">
        <v>98</v>
      </c>
      <c r="G146" s="1">
        <v>0.58333333333333337</v>
      </c>
      <c r="H146" s="1">
        <v>0.9375</v>
      </c>
      <c r="I146" s="1" t="s">
        <v>98</v>
      </c>
      <c r="J146" s="2" t="s">
        <v>13</v>
      </c>
      <c r="K146" s="10" t="str">
        <f t="shared" si="3"/>
        <v>8.5</v>
      </c>
      <c r="L146" s="21">
        <v>135500</v>
      </c>
      <c r="M146" s="21">
        <v>5246</v>
      </c>
    </row>
    <row r="147" spans="1:13">
      <c r="A147" s="4">
        <v>145</v>
      </c>
      <c r="B147" s="4" t="s">
        <v>37</v>
      </c>
      <c r="C147" s="37" t="s">
        <v>37</v>
      </c>
      <c r="D147" s="19">
        <v>45813</v>
      </c>
      <c r="E147" s="26" t="s">
        <v>39</v>
      </c>
      <c r="F147" s="27" t="s">
        <v>98</v>
      </c>
      <c r="G147" s="27">
        <v>0.54166666666666663</v>
      </c>
      <c r="H147" s="1">
        <v>0.875</v>
      </c>
      <c r="I147" s="27" t="s">
        <v>98</v>
      </c>
      <c r="J147" s="2" t="s">
        <v>40</v>
      </c>
      <c r="K147" s="10" t="str">
        <f t="shared" si="3"/>
        <v>8.0</v>
      </c>
      <c r="L147" s="28">
        <v>169379</v>
      </c>
      <c r="M147" s="16">
        <v>5622</v>
      </c>
    </row>
    <row r="148" spans="1:13" hidden="1">
      <c r="A148" s="36">
        <v>146</v>
      </c>
      <c r="B148" s="4" t="s">
        <v>55</v>
      </c>
      <c r="C148" s="37" t="s">
        <v>96</v>
      </c>
      <c r="D148" s="19">
        <v>45813</v>
      </c>
      <c r="E148" s="26" t="s">
        <v>66</v>
      </c>
      <c r="F148" s="2" t="s">
        <v>45</v>
      </c>
      <c r="G148" s="27">
        <v>0.33333333333333331</v>
      </c>
      <c r="H148" s="1">
        <v>0.66666666666666663</v>
      </c>
      <c r="I148" s="2" t="s">
        <v>45</v>
      </c>
      <c r="J148" s="2" t="s">
        <v>13</v>
      </c>
      <c r="K148" s="10" t="str">
        <f t="shared" si="3"/>
        <v>8.0</v>
      </c>
      <c r="L148" s="8">
        <v>85619</v>
      </c>
      <c r="M148" s="8">
        <v>2680</v>
      </c>
    </row>
    <row r="149" spans="1:13">
      <c r="A149" s="36">
        <v>147</v>
      </c>
      <c r="B149" s="4" t="s">
        <v>85</v>
      </c>
      <c r="C149" s="37" t="s">
        <v>37</v>
      </c>
      <c r="D149" s="19">
        <v>45813</v>
      </c>
      <c r="E149" s="6" t="s">
        <v>184</v>
      </c>
      <c r="F149" s="7" t="s">
        <v>45</v>
      </c>
      <c r="G149" s="1">
        <v>0.375</v>
      </c>
      <c r="H149" s="1">
        <v>0.70833333333333337</v>
      </c>
      <c r="I149" s="42" t="s">
        <v>36</v>
      </c>
      <c r="J149" s="7" t="s">
        <v>45</v>
      </c>
      <c r="K149" s="10" t="str">
        <f t="shared" si="3"/>
        <v>8.0</v>
      </c>
      <c r="L149" s="24">
        <v>77499</v>
      </c>
      <c r="M149" s="24">
        <v>2222</v>
      </c>
    </row>
    <row r="150" spans="1:13" hidden="1">
      <c r="A150" s="4">
        <v>148</v>
      </c>
      <c r="B150" s="4" t="s">
        <v>55</v>
      </c>
      <c r="C150" s="37" t="s">
        <v>55</v>
      </c>
      <c r="D150" s="19">
        <v>45815</v>
      </c>
      <c r="E150" s="6" t="s">
        <v>184</v>
      </c>
      <c r="F150" s="7" t="s">
        <v>45</v>
      </c>
      <c r="G150" s="7">
        <v>0.41666666666666669</v>
      </c>
      <c r="H150" s="1">
        <v>0.75</v>
      </c>
      <c r="I150" s="7" t="s">
        <v>36</v>
      </c>
      <c r="J150" s="1" t="s">
        <v>45</v>
      </c>
      <c r="K150" s="10" t="str">
        <f t="shared" si="3"/>
        <v>8.0</v>
      </c>
      <c r="L150" s="24">
        <v>77499</v>
      </c>
      <c r="M150" s="24">
        <v>2222</v>
      </c>
    </row>
    <row r="151" spans="1:13">
      <c r="A151" s="4">
        <v>149</v>
      </c>
      <c r="B151" s="4" t="s">
        <v>37</v>
      </c>
      <c r="C151" s="37" t="s">
        <v>95</v>
      </c>
      <c r="D151" s="19">
        <v>45816</v>
      </c>
      <c r="E151" s="20" t="s">
        <v>75</v>
      </c>
      <c r="F151" s="7" t="s">
        <v>98</v>
      </c>
      <c r="G151" s="1">
        <v>0.58333333333333337</v>
      </c>
      <c r="H151" s="1">
        <v>0.9375</v>
      </c>
      <c r="I151" s="1" t="s">
        <v>98</v>
      </c>
      <c r="J151" s="2" t="s">
        <v>36</v>
      </c>
      <c r="K151" s="10" t="str">
        <f t="shared" si="3"/>
        <v>8.5</v>
      </c>
      <c r="L151" s="21">
        <v>135500</v>
      </c>
      <c r="M151" s="21">
        <v>5246</v>
      </c>
    </row>
    <row r="152" spans="1:13" hidden="1">
      <c r="A152" s="36">
        <v>150</v>
      </c>
      <c r="B152" s="4" t="s">
        <v>96</v>
      </c>
      <c r="C152" s="37" t="s">
        <v>96</v>
      </c>
      <c r="D152" s="19">
        <v>45817</v>
      </c>
      <c r="E152" s="3" t="s">
        <v>19</v>
      </c>
      <c r="F152" s="5" t="s">
        <v>20</v>
      </c>
      <c r="G152" s="7">
        <v>0.29166666666666669</v>
      </c>
      <c r="H152" s="1">
        <v>0.66666666666666663</v>
      </c>
      <c r="I152" s="20" t="s">
        <v>65</v>
      </c>
      <c r="J152" s="2" t="s">
        <v>18</v>
      </c>
      <c r="K152" s="10" t="str">
        <f t="shared" si="3"/>
        <v>9.0</v>
      </c>
      <c r="L152" s="24">
        <v>91011</v>
      </c>
      <c r="M152" s="24">
        <v>2593</v>
      </c>
    </row>
    <row r="153" spans="1:13">
      <c r="A153" s="36">
        <v>151</v>
      </c>
      <c r="B153" s="4" t="s">
        <v>85</v>
      </c>
      <c r="C153" s="37" t="s">
        <v>95</v>
      </c>
      <c r="D153" s="19">
        <v>45817</v>
      </c>
      <c r="E153" s="6" t="s">
        <v>184</v>
      </c>
      <c r="F153" s="7" t="s">
        <v>45</v>
      </c>
      <c r="G153" s="1">
        <v>0.375</v>
      </c>
      <c r="H153" s="1">
        <v>0.70833333333333337</v>
      </c>
      <c r="I153" s="7" t="s">
        <v>45</v>
      </c>
      <c r="J153" s="7" t="s">
        <v>45</v>
      </c>
      <c r="K153" s="10" t="str">
        <f t="shared" si="3"/>
        <v>8.0</v>
      </c>
      <c r="L153" s="24">
        <v>77499</v>
      </c>
      <c r="M153" s="24">
        <v>2222</v>
      </c>
    </row>
    <row r="154" spans="1:13" hidden="1">
      <c r="A154" s="4">
        <v>152</v>
      </c>
      <c r="B154" s="4" t="s">
        <v>55</v>
      </c>
      <c r="C154" s="37" t="s">
        <v>96</v>
      </c>
      <c r="D154" s="19">
        <v>45818</v>
      </c>
      <c r="E154" s="26" t="s">
        <v>66</v>
      </c>
      <c r="F154" s="2" t="s">
        <v>45</v>
      </c>
      <c r="G154" s="27">
        <v>0.33333333333333331</v>
      </c>
      <c r="H154" s="1">
        <v>0.66666666666666663</v>
      </c>
      <c r="I154" s="2" t="s">
        <v>45</v>
      </c>
      <c r="J154" s="2" t="s">
        <v>36</v>
      </c>
      <c r="K154" s="10" t="str">
        <f t="shared" si="3"/>
        <v>8.0</v>
      </c>
      <c r="L154" s="8">
        <v>85619</v>
      </c>
      <c r="M154" s="8">
        <v>2680</v>
      </c>
    </row>
    <row r="155" spans="1:13">
      <c r="A155" s="4">
        <v>153</v>
      </c>
      <c r="B155" s="4" t="s">
        <v>37</v>
      </c>
      <c r="C155" s="37" t="s">
        <v>95</v>
      </c>
      <c r="D155" s="19">
        <v>45819</v>
      </c>
      <c r="E155" s="25" t="s">
        <v>78</v>
      </c>
      <c r="F155" s="7" t="s">
        <v>20</v>
      </c>
      <c r="G155" s="7">
        <v>0.29166666666666669</v>
      </c>
      <c r="H155" s="1">
        <v>0.625</v>
      </c>
      <c r="I155" s="1" t="s">
        <v>79</v>
      </c>
      <c r="J155" s="2" t="s">
        <v>21</v>
      </c>
      <c r="K155" s="10" t="str">
        <f t="shared" si="3"/>
        <v>8.0</v>
      </c>
      <c r="L155" s="24">
        <v>115906</v>
      </c>
      <c r="M155" s="24">
        <v>3247</v>
      </c>
    </row>
    <row r="156" spans="1:13" hidden="1">
      <c r="A156" s="36">
        <v>154</v>
      </c>
      <c r="B156" s="4" t="s">
        <v>55</v>
      </c>
      <c r="C156" s="37" t="s">
        <v>55</v>
      </c>
      <c r="D156" s="19">
        <v>45820</v>
      </c>
      <c r="E156" s="6" t="s">
        <v>184</v>
      </c>
      <c r="F156" s="7" t="s">
        <v>45</v>
      </c>
      <c r="G156" s="7">
        <v>0.41666666666666669</v>
      </c>
      <c r="H156" s="1">
        <v>0.75</v>
      </c>
      <c r="I156" s="2" t="s">
        <v>187</v>
      </c>
      <c r="J156" s="4" t="s">
        <v>45</v>
      </c>
      <c r="K156" s="10" t="str">
        <f t="shared" si="3"/>
        <v>8.0</v>
      </c>
      <c r="L156" s="24">
        <v>77499</v>
      </c>
      <c r="M156" s="24">
        <v>2222</v>
      </c>
    </row>
    <row r="157" spans="1:13">
      <c r="A157" s="36">
        <v>155</v>
      </c>
      <c r="B157" s="4" t="s">
        <v>37</v>
      </c>
      <c r="C157" s="37" t="s">
        <v>95</v>
      </c>
      <c r="D157" s="19">
        <v>45820</v>
      </c>
      <c r="E157" s="25" t="s">
        <v>43</v>
      </c>
      <c r="F157" s="2" t="s">
        <v>45</v>
      </c>
      <c r="G157" s="7">
        <v>0.375</v>
      </c>
      <c r="H157" s="1">
        <v>0.79166666666666663</v>
      </c>
      <c r="I157" s="4" t="s">
        <v>46</v>
      </c>
      <c r="J157" s="2" t="s">
        <v>45</v>
      </c>
      <c r="K157" s="10" t="str">
        <f t="shared" si="3"/>
        <v>10.0</v>
      </c>
      <c r="L157" s="11">
        <v>168666</v>
      </c>
      <c r="M157" s="8">
        <v>4919</v>
      </c>
    </row>
    <row r="158" spans="1:13" hidden="1">
      <c r="A158" s="4">
        <v>156</v>
      </c>
      <c r="B158" s="4" t="s">
        <v>55</v>
      </c>
      <c r="C158" s="37" t="s">
        <v>96</v>
      </c>
      <c r="D158" s="19">
        <v>45823</v>
      </c>
      <c r="E158" s="26" t="s">
        <v>66</v>
      </c>
      <c r="F158" s="2" t="s">
        <v>45</v>
      </c>
      <c r="G158" s="27">
        <v>0.33333333333333331</v>
      </c>
      <c r="H158" s="1">
        <v>0.66666666666666663</v>
      </c>
      <c r="I158" s="2" t="s">
        <v>45</v>
      </c>
      <c r="J158" s="2" t="s">
        <v>72</v>
      </c>
      <c r="K158" s="10" t="str">
        <f t="shared" si="3"/>
        <v>8.0</v>
      </c>
      <c r="L158" s="8">
        <v>85619</v>
      </c>
      <c r="M158" s="8">
        <v>2680</v>
      </c>
    </row>
    <row r="159" spans="1:13">
      <c r="A159" s="4">
        <v>157</v>
      </c>
      <c r="B159" s="4" t="s">
        <v>37</v>
      </c>
      <c r="C159" s="37" t="s">
        <v>95</v>
      </c>
      <c r="D159" s="19">
        <v>45824</v>
      </c>
      <c r="E159" s="26" t="s">
        <v>39</v>
      </c>
      <c r="F159" s="27" t="s">
        <v>98</v>
      </c>
      <c r="G159" s="27">
        <v>0.54166666666666663</v>
      </c>
      <c r="H159" s="1">
        <v>0.875</v>
      </c>
      <c r="I159" s="27" t="s">
        <v>98</v>
      </c>
      <c r="J159" s="2" t="s">
        <v>36</v>
      </c>
      <c r="K159" s="10" t="str">
        <f t="shared" si="3"/>
        <v>8.0</v>
      </c>
      <c r="L159" s="28">
        <v>169379</v>
      </c>
      <c r="M159" s="16">
        <v>5622</v>
      </c>
    </row>
    <row r="160" spans="1:13" hidden="1">
      <c r="A160" s="36">
        <v>158</v>
      </c>
      <c r="B160" s="4" t="s">
        <v>55</v>
      </c>
      <c r="C160" s="37" t="s">
        <v>55</v>
      </c>
      <c r="D160" s="19">
        <v>45825</v>
      </c>
      <c r="E160" s="6" t="s">
        <v>184</v>
      </c>
      <c r="F160" s="7" t="s">
        <v>45</v>
      </c>
      <c r="G160" s="7">
        <v>0.41666666666666669</v>
      </c>
      <c r="H160" s="1">
        <v>0.75</v>
      </c>
      <c r="I160" s="42" t="s">
        <v>36</v>
      </c>
      <c r="J160" s="7" t="s">
        <v>45</v>
      </c>
      <c r="K160" s="10" t="str">
        <f t="shared" si="3"/>
        <v>8.0</v>
      </c>
      <c r="L160" s="24">
        <v>77499</v>
      </c>
      <c r="M160" s="24">
        <v>2222</v>
      </c>
    </row>
    <row r="161" spans="1:13">
      <c r="A161" s="36">
        <v>159</v>
      </c>
      <c r="B161" s="4" t="s">
        <v>180</v>
      </c>
      <c r="C161" s="37" t="s">
        <v>37</v>
      </c>
      <c r="D161" s="19">
        <v>45826</v>
      </c>
      <c r="E161" s="20" t="s">
        <v>75</v>
      </c>
      <c r="F161" s="7" t="s">
        <v>98</v>
      </c>
      <c r="G161" s="27">
        <v>0.375</v>
      </c>
      <c r="H161" s="1">
        <v>0.75</v>
      </c>
      <c r="I161" s="27" t="s">
        <v>29</v>
      </c>
      <c r="J161" s="7" t="s">
        <v>98</v>
      </c>
      <c r="K161" s="84" t="str">
        <f t="shared" si="3"/>
        <v>9.0</v>
      </c>
      <c r="L161" s="24">
        <v>135500</v>
      </c>
      <c r="M161" s="24">
        <v>5246</v>
      </c>
    </row>
    <row r="162" spans="1:13" hidden="1">
      <c r="A162" s="4">
        <v>160</v>
      </c>
      <c r="B162" s="4" t="s">
        <v>55</v>
      </c>
      <c r="C162" s="37" t="s">
        <v>96</v>
      </c>
      <c r="D162" s="19">
        <v>45828</v>
      </c>
      <c r="E162" s="26" t="s">
        <v>66</v>
      </c>
      <c r="F162" s="2" t="s">
        <v>45</v>
      </c>
      <c r="G162" s="27">
        <v>0.33333333333333331</v>
      </c>
      <c r="H162" s="1">
        <v>0.66666666666666663</v>
      </c>
      <c r="I162" s="2" t="s">
        <v>45</v>
      </c>
      <c r="J162" s="2" t="s">
        <v>36</v>
      </c>
      <c r="K162" s="10" t="str">
        <f t="shared" si="3"/>
        <v>8.0</v>
      </c>
      <c r="L162" s="8">
        <v>85619</v>
      </c>
      <c r="M162" s="8">
        <v>2680</v>
      </c>
    </row>
    <row r="163" spans="1:13">
      <c r="A163" s="4">
        <v>161</v>
      </c>
      <c r="B163" s="4" t="s">
        <v>37</v>
      </c>
      <c r="C163" s="37" t="s">
        <v>37</v>
      </c>
      <c r="D163" s="19">
        <v>45829</v>
      </c>
      <c r="E163" s="20" t="s">
        <v>75</v>
      </c>
      <c r="F163" s="7" t="s">
        <v>98</v>
      </c>
      <c r="G163" s="27">
        <v>0.33333333333333331</v>
      </c>
      <c r="H163" s="1">
        <v>0.75</v>
      </c>
      <c r="I163" s="7" t="s">
        <v>98</v>
      </c>
      <c r="J163" s="2" t="s">
        <v>36</v>
      </c>
      <c r="K163" s="10" t="str">
        <f t="shared" si="3"/>
        <v>10.0</v>
      </c>
      <c r="L163" s="24">
        <v>135500</v>
      </c>
      <c r="M163" s="24">
        <v>5246</v>
      </c>
    </row>
    <row r="164" spans="1:13" hidden="1">
      <c r="A164" s="36">
        <v>162</v>
      </c>
      <c r="B164" s="4" t="s">
        <v>55</v>
      </c>
      <c r="C164" s="37" t="s">
        <v>55</v>
      </c>
      <c r="D164" s="19">
        <v>45830</v>
      </c>
      <c r="E164" s="6" t="s">
        <v>184</v>
      </c>
      <c r="F164" s="7" t="s">
        <v>45</v>
      </c>
      <c r="G164" s="7">
        <v>0.41666666666666669</v>
      </c>
      <c r="H164" s="1">
        <v>0.75</v>
      </c>
      <c r="I164" s="2" t="s">
        <v>187</v>
      </c>
      <c r="J164" s="4" t="s">
        <v>45</v>
      </c>
      <c r="K164" s="10" t="str">
        <f t="shared" si="3"/>
        <v>8.0</v>
      </c>
      <c r="L164" s="24">
        <v>77499</v>
      </c>
      <c r="M164" s="24">
        <v>2222</v>
      </c>
    </row>
    <row r="165" spans="1:13">
      <c r="A165" s="36">
        <v>163</v>
      </c>
      <c r="B165" s="4" t="s">
        <v>37</v>
      </c>
      <c r="C165" s="37" t="s">
        <v>95</v>
      </c>
      <c r="D165" s="19">
        <v>45830</v>
      </c>
      <c r="E165" s="25" t="s">
        <v>43</v>
      </c>
      <c r="F165" s="2" t="s">
        <v>45</v>
      </c>
      <c r="G165" s="7">
        <v>0.375</v>
      </c>
      <c r="H165" s="1">
        <v>0.79166666666666663</v>
      </c>
      <c r="I165" s="4" t="s">
        <v>47</v>
      </c>
      <c r="J165" s="2" t="s">
        <v>45</v>
      </c>
      <c r="K165" s="10" t="str">
        <f t="shared" si="3"/>
        <v>10.0</v>
      </c>
      <c r="L165" s="11">
        <v>168666</v>
      </c>
      <c r="M165" s="8">
        <v>4919</v>
      </c>
    </row>
    <row r="166" spans="1:13" hidden="1">
      <c r="A166" s="4">
        <v>164</v>
      </c>
      <c r="B166" s="4" t="s">
        <v>55</v>
      </c>
      <c r="C166" s="37" t="s">
        <v>96</v>
      </c>
      <c r="D166" s="19">
        <v>45831</v>
      </c>
      <c r="E166" s="25" t="s">
        <v>15</v>
      </c>
      <c r="F166" s="20" t="s">
        <v>65</v>
      </c>
      <c r="G166" s="7">
        <v>0.33333333333333331</v>
      </c>
      <c r="H166" s="1">
        <v>0.66666666666666663</v>
      </c>
      <c r="I166" s="4" t="s">
        <v>87</v>
      </c>
      <c r="J166" s="2" t="s">
        <v>54</v>
      </c>
      <c r="K166" s="10" t="str">
        <f t="shared" si="3"/>
        <v>8.0</v>
      </c>
      <c r="L166" s="11">
        <v>75904</v>
      </c>
      <c r="M166" s="8">
        <v>2018</v>
      </c>
    </row>
    <row r="167" spans="1:13" hidden="1">
      <c r="A167" s="4">
        <v>165</v>
      </c>
      <c r="B167" s="4" t="s">
        <v>55</v>
      </c>
      <c r="C167" s="37" t="s">
        <v>96</v>
      </c>
      <c r="D167" s="19">
        <v>45833</v>
      </c>
      <c r="E167" s="26" t="s">
        <v>66</v>
      </c>
      <c r="F167" s="2" t="s">
        <v>45</v>
      </c>
      <c r="G167" s="27">
        <v>0.33333333333333331</v>
      </c>
      <c r="H167" s="1">
        <v>0.66666666666666663</v>
      </c>
      <c r="I167" s="2" t="s">
        <v>45</v>
      </c>
      <c r="J167" s="2" t="s">
        <v>72</v>
      </c>
      <c r="K167" s="10" t="str">
        <f t="shared" si="3"/>
        <v>8.0</v>
      </c>
      <c r="L167" s="8">
        <v>85619</v>
      </c>
      <c r="M167" s="8">
        <v>2680</v>
      </c>
    </row>
    <row r="168" spans="1:13">
      <c r="A168" s="36">
        <v>166</v>
      </c>
      <c r="B168" s="4" t="s">
        <v>37</v>
      </c>
      <c r="C168" s="37" t="s">
        <v>95</v>
      </c>
      <c r="D168" s="19">
        <v>45833</v>
      </c>
      <c r="E168" s="20" t="s">
        <v>75</v>
      </c>
      <c r="F168" s="7" t="s">
        <v>98</v>
      </c>
      <c r="G168" s="1">
        <v>0.58333333333333337</v>
      </c>
      <c r="H168" s="1">
        <v>0.9375</v>
      </c>
      <c r="I168" s="1" t="s">
        <v>98</v>
      </c>
      <c r="J168" s="2" t="s">
        <v>36</v>
      </c>
      <c r="K168" s="10" t="str">
        <f t="shared" si="3"/>
        <v>8.5</v>
      </c>
      <c r="L168" s="21">
        <v>135500</v>
      </c>
      <c r="M168" s="21">
        <v>5246</v>
      </c>
    </row>
    <row r="169" spans="1:13" hidden="1">
      <c r="A169" s="36">
        <v>167</v>
      </c>
      <c r="B169" s="4" t="s">
        <v>88</v>
      </c>
      <c r="C169" s="37" t="s">
        <v>96</v>
      </c>
      <c r="D169" s="19">
        <v>45834</v>
      </c>
      <c r="E169" s="25" t="s">
        <v>15</v>
      </c>
      <c r="F169" s="20" t="s">
        <v>65</v>
      </c>
      <c r="G169" s="7">
        <v>0.375</v>
      </c>
      <c r="H169" s="1">
        <v>0.70833333333333337</v>
      </c>
      <c r="I169" s="4" t="s">
        <v>65</v>
      </c>
      <c r="J169" s="4" t="s">
        <v>87</v>
      </c>
      <c r="K169" s="10" t="str">
        <f t="shared" si="3"/>
        <v>8.0</v>
      </c>
      <c r="L169" s="11">
        <v>75904</v>
      </c>
      <c r="M169" s="8">
        <v>2018</v>
      </c>
    </row>
    <row r="170" spans="1:13" hidden="1">
      <c r="A170" s="4">
        <v>168</v>
      </c>
      <c r="B170" s="4" t="s">
        <v>55</v>
      </c>
      <c r="C170" s="37" t="s">
        <v>55</v>
      </c>
      <c r="D170" s="19">
        <v>45835</v>
      </c>
      <c r="E170" s="6" t="s">
        <v>184</v>
      </c>
      <c r="F170" s="7" t="s">
        <v>45</v>
      </c>
      <c r="G170" s="7">
        <v>0.41666666666666669</v>
      </c>
      <c r="H170" s="1">
        <v>0.75</v>
      </c>
      <c r="I170" s="4" t="s">
        <v>36</v>
      </c>
      <c r="J170" s="4" t="s">
        <v>45</v>
      </c>
      <c r="K170" s="10" t="str">
        <f t="shared" si="3"/>
        <v>8.0</v>
      </c>
      <c r="L170" s="24">
        <v>77499</v>
      </c>
      <c r="M170" s="24">
        <v>2222</v>
      </c>
    </row>
    <row r="171" spans="1:13">
      <c r="A171" s="4">
        <v>169</v>
      </c>
      <c r="B171" s="4" t="s">
        <v>37</v>
      </c>
      <c r="C171" s="37" t="s">
        <v>95</v>
      </c>
      <c r="D171" s="19">
        <v>45835</v>
      </c>
      <c r="E171" s="25" t="s">
        <v>43</v>
      </c>
      <c r="F171" s="2" t="s">
        <v>45</v>
      </c>
      <c r="G171" s="7">
        <v>0.29166666666666669</v>
      </c>
      <c r="H171" s="1">
        <v>0.66666666666666663</v>
      </c>
      <c r="I171" s="4" t="s">
        <v>29</v>
      </c>
      <c r="J171" s="2" t="s">
        <v>45</v>
      </c>
      <c r="K171" s="10" t="str">
        <f t="shared" si="3"/>
        <v>9.0</v>
      </c>
      <c r="L171" s="11">
        <v>168666</v>
      </c>
      <c r="M171" s="8">
        <v>4919</v>
      </c>
    </row>
    <row r="172" spans="1:13" hidden="1">
      <c r="A172" s="36">
        <v>170</v>
      </c>
      <c r="B172" s="4" t="s">
        <v>55</v>
      </c>
      <c r="C172" s="37" t="s">
        <v>96</v>
      </c>
      <c r="D172" s="19">
        <v>45838</v>
      </c>
      <c r="E172" s="26" t="s">
        <v>66</v>
      </c>
      <c r="F172" s="2" t="s">
        <v>45</v>
      </c>
      <c r="G172" s="27">
        <v>0.33333333333333331</v>
      </c>
      <c r="H172" s="1">
        <v>0.66666666666666663</v>
      </c>
      <c r="I172" s="2" t="s">
        <v>45</v>
      </c>
      <c r="J172" s="2" t="s">
        <v>36</v>
      </c>
      <c r="K172" s="10" t="str">
        <f t="shared" si="3"/>
        <v>8.0</v>
      </c>
      <c r="L172" s="8">
        <v>85619</v>
      </c>
      <c r="M172" s="8">
        <v>2680</v>
      </c>
    </row>
    <row r="173" spans="1:13" hidden="1">
      <c r="A173" s="36">
        <v>171</v>
      </c>
      <c r="B173" s="4" t="s">
        <v>55</v>
      </c>
      <c r="C173" s="37" t="s">
        <v>55</v>
      </c>
      <c r="D173" s="19">
        <v>45840</v>
      </c>
      <c r="E173" s="6" t="s">
        <v>184</v>
      </c>
      <c r="F173" s="7" t="s">
        <v>45</v>
      </c>
      <c r="G173" s="7">
        <v>0.41666666666666669</v>
      </c>
      <c r="H173" s="1">
        <v>0.75</v>
      </c>
      <c r="I173" s="2" t="s">
        <v>187</v>
      </c>
      <c r="J173" s="4" t="s">
        <v>45</v>
      </c>
      <c r="K173" s="10" t="str">
        <f t="shared" si="3"/>
        <v>8.0</v>
      </c>
      <c r="L173" s="24">
        <v>77499</v>
      </c>
      <c r="M173" s="24">
        <v>2222</v>
      </c>
    </row>
    <row r="174" spans="1:13">
      <c r="A174" s="4">
        <v>172</v>
      </c>
      <c r="B174" s="4" t="s">
        <v>37</v>
      </c>
      <c r="C174" s="37" t="s">
        <v>95</v>
      </c>
      <c r="D174" s="19">
        <v>45840</v>
      </c>
      <c r="E174" s="25" t="s">
        <v>43</v>
      </c>
      <c r="F174" s="2" t="s">
        <v>45</v>
      </c>
      <c r="G174" s="7">
        <v>0.375</v>
      </c>
      <c r="H174" s="1">
        <v>0.79166666666666663</v>
      </c>
      <c r="I174" s="4" t="s">
        <v>47</v>
      </c>
      <c r="J174" s="2" t="s">
        <v>45</v>
      </c>
      <c r="K174" s="10" t="str">
        <f t="shared" si="3"/>
        <v>10.0</v>
      </c>
      <c r="L174" s="11">
        <v>168666</v>
      </c>
      <c r="M174" s="8">
        <v>4919</v>
      </c>
    </row>
    <row r="175" spans="1:13">
      <c r="A175" s="4">
        <v>173</v>
      </c>
      <c r="B175" s="4" t="s">
        <v>37</v>
      </c>
      <c r="C175" s="37" t="s">
        <v>95</v>
      </c>
      <c r="D175" s="19">
        <v>45841</v>
      </c>
      <c r="E175" s="20" t="s">
        <v>75</v>
      </c>
      <c r="F175" s="7" t="s">
        <v>98</v>
      </c>
      <c r="G175" s="1">
        <v>0.58333333333333337</v>
      </c>
      <c r="H175" s="1">
        <v>0.9375</v>
      </c>
      <c r="I175" s="1" t="s">
        <v>98</v>
      </c>
      <c r="J175" s="2" t="s">
        <v>13</v>
      </c>
      <c r="K175" s="10" t="str">
        <f t="shared" si="3"/>
        <v>8.5</v>
      </c>
      <c r="L175" s="21">
        <v>135500</v>
      </c>
      <c r="M175" s="21">
        <v>5246</v>
      </c>
    </row>
    <row r="176" spans="1:13">
      <c r="A176" s="36">
        <v>174</v>
      </c>
      <c r="B176" s="4" t="s">
        <v>37</v>
      </c>
      <c r="C176" s="40" t="s">
        <v>95</v>
      </c>
      <c r="D176" s="19">
        <v>45843</v>
      </c>
      <c r="E176" s="25" t="s">
        <v>27</v>
      </c>
      <c r="F176" s="7" t="s">
        <v>86</v>
      </c>
      <c r="G176" s="7">
        <v>0.33333333333333331</v>
      </c>
      <c r="H176" s="1">
        <v>0.75</v>
      </c>
      <c r="I176" s="4" t="s">
        <v>13</v>
      </c>
      <c r="J176" s="2" t="s">
        <v>21</v>
      </c>
      <c r="K176" s="10" t="str">
        <f t="shared" si="3"/>
        <v>10.0</v>
      </c>
      <c r="L176" s="29">
        <v>114261</v>
      </c>
      <c r="M176" s="8">
        <v>3014</v>
      </c>
    </row>
    <row r="177" spans="1:13" hidden="1">
      <c r="A177" s="36">
        <v>175</v>
      </c>
      <c r="B177" s="4" t="s">
        <v>55</v>
      </c>
      <c r="C177" s="17" t="s">
        <v>96</v>
      </c>
      <c r="D177" s="19">
        <v>45843</v>
      </c>
      <c r="E177" s="26" t="s">
        <v>66</v>
      </c>
      <c r="F177" s="2" t="s">
        <v>45</v>
      </c>
      <c r="G177" s="27">
        <v>0.33333333333333331</v>
      </c>
      <c r="H177" s="1">
        <v>0.66666666666666663</v>
      </c>
      <c r="I177" s="2" t="s">
        <v>45</v>
      </c>
      <c r="J177" s="2" t="s">
        <v>13</v>
      </c>
      <c r="K177" s="10" t="str">
        <f t="shared" si="3"/>
        <v>8.0</v>
      </c>
      <c r="L177" s="8">
        <v>85619</v>
      </c>
      <c r="M177" s="8">
        <v>2680</v>
      </c>
    </row>
    <row r="178" spans="1:13" hidden="1">
      <c r="A178" s="4">
        <v>176</v>
      </c>
      <c r="B178" s="4" t="s">
        <v>55</v>
      </c>
      <c r="C178" s="37" t="s">
        <v>55</v>
      </c>
      <c r="D178" s="19">
        <v>45845</v>
      </c>
      <c r="E178" s="6" t="s">
        <v>184</v>
      </c>
      <c r="F178" s="7" t="s">
        <v>45</v>
      </c>
      <c r="G178" s="7">
        <v>0.41666666666666669</v>
      </c>
      <c r="H178" s="1">
        <v>0.75</v>
      </c>
      <c r="I178" s="2" t="s">
        <v>36</v>
      </c>
      <c r="J178" s="4" t="s">
        <v>45</v>
      </c>
      <c r="K178" s="10" t="str">
        <f t="shared" si="3"/>
        <v>8.0</v>
      </c>
      <c r="L178" s="24">
        <v>77499</v>
      </c>
      <c r="M178" s="24">
        <v>2222</v>
      </c>
    </row>
    <row r="179" spans="1:13">
      <c r="A179" s="4">
        <v>177</v>
      </c>
      <c r="B179" s="4" t="s">
        <v>37</v>
      </c>
      <c r="C179" s="37" t="s">
        <v>95</v>
      </c>
      <c r="D179" s="19">
        <v>45845</v>
      </c>
      <c r="E179" s="20" t="s">
        <v>75</v>
      </c>
      <c r="F179" s="7" t="s">
        <v>98</v>
      </c>
      <c r="G179" s="1">
        <v>0.58333333333333337</v>
      </c>
      <c r="H179" s="1">
        <v>0.9375</v>
      </c>
      <c r="I179" s="1" t="s">
        <v>98</v>
      </c>
      <c r="J179" s="2" t="s">
        <v>36</v>
      </c>
      <c r="K179" s="10" t="str">
        <f t="shared" si="3"/>
        <v>8.5</v>
      </c>
      <c r="L179" s="21">
        <v>135500</v>
      </c>
      <c r="M179" s="21">
        <v>5246</v>
      </c>
    </row>
    <row r="180" spans="1:13">
      <c r="A180" s="36">
        <v>178</v>
      </c>
      <c r="B180" s="4" t="s">
        <v>37</v>
      </c>
      <c r="C180" s="37" t="s">
        <v>37</v>
      </c>
      <c r="D180" s="19">
        <v>45846</v>
      </c>
      <c r="E180" s="6" t="s">
        <v>76</v>
      </c>
      <c r="F180" s="7" t="s">
        <v>63</v>
      </c>
      <c r="G180" s="7">
        <v>0.33333333333333331</v>
      </c>
      <c r="H180" s="1">
        <v>0.83333333333333337</v>
      </c>
      <c r="I180" s="7" t="s">
        <v>26</v>
      </c>
      <c r="J180" s="7" t="s">
        <v>162</v>
      </c>
      <c r="K180" s="10" t="str">
        <f t="shared" si="3"/>
        <v>12.0</v>
      </c>
      <c r="L180" s="68">
        <v>137936</v>
      </c>
      <c r="M180" s="8">
        <v>4363</v>
      </c>
    </row>
    <row r="181" spans="1:13">
      <c r="A181" s="36">
        <v>179</v>
      </c>
      <c r="B181" s="4" t="s">
        <v>37</v>
      </c>
      <c r="C181" s="37" t="s">
        <v>95</v>
      </c>
      <c r="D181" s="19">
        <v>45848</v>
      </c>
      <c r="E181" s="26" t="s">
        <v>39</v>
      </c>
      <c r="F181" s="27" t="s">
        <v>98</v>
      </c>
      <c r="G181" s="27">
        <v>0.54166666666666663</v>
      </c>
      <c r="H181" s="1">
        <v>0.875</v>
      </c>
      <c r="I181" s="27" t="s">
        <v>98</v>
      </c>
      <c r="J181" s="2" t="s">
        <v>36</v>
      </c>
      <c r="K181" s="10" t="str">
        <f t="shared" si="3"/>
        <v>8.0</v>
      </c>
      <c r="L181" s="28">
        <v>169379</v>
      </c>
      <c r="M181" s="16">
        <v>5622</v>
      </c>
    </row>
    <row r="182" spans="1:13" hidden="1">
      <c r="A182" s="4">
        <v>180</v>
      </c>
      <c r="B182" s="4" t="s">
        <v>55</v>
      </c>
      <c r="C182" s="37" t="s">
        <v>96</v>
      </c>
      <c r="D182" s="19">
        <v>45848</v>
      </c>
      <c r="E182" s="26" t="s">
        <v>66</v>
      </c>
      <c r="F182" s="2" t="s">
        <v>45</v>
      </c>
      <c r="G182" s="27">
        <v>0.33333333333333331</v>
      </c>
      <c r="H182" s="1">
        <v>0.66666666666666663</v>
      </c>
      <c r="I182" s="2" t="s">
        <v>45</v>
      </c>
      <c r="J182" s="2" t="s">
        <v>36</v>
      </c>
      <c r="K182" s="10" t="str">
        <f t="shared" si="3"/>
        <v>8.0</v>
      </c>
      <c r="L182" s="8">
        <v>85619</v>
      </c>
      <c r="M182" s="8">
        <v>2680</v>
      </c>
    </row>
    <row r="183" spans="1:13" hidden="1">
      <c r="A183" s="4">
        <v>181</v>
      </c>
      <c r="B183" s="4" t="s">
        <v>55</v>
      </c>
      <c r="C183" s="37" t="s">
        <v>55</v>
      </c>
      <c r="D183" s="19">
        <v>45850</v>
      </c>
      <c r="E183" s="6" t="s">
        <v>184</v>
      </c>
      <c r="F183" s="7" t="s">
        <v>45</v>
      </c>
      <c r="G183" s="7">
        <v>0.41666666666666669</v>
      </c>
      <c r="H183" s="1">
        <v>0.75</v>
      </c>
      <c r="I183" s="2" t="s">
        <v>36</v>
      </c>
      <c r="J183" s="4" t="s">
        <v>45</v>
      </c>
      <c r="K183" s="10" t="str">
        <f t="shared" si="3"/>
        <v>8.0</v>
      </c>
      <c r="L183" s="24">
        <v>77499</v>
      </c>
      <c r="M183" s="24">
        <v>2222</v>
      </c>
    </row>
    <row r="184" spans="1:13">
      <c r="A184" s="36">
        <v>182</v>
      </c>
      <c r="B184" s="4" t="s">
        <v>37</v>
      </c>
      <c r="C184" s="37" t="s">
        <v>95</v>
      </c>
      <c r="D184" s="19">
        <v>45850</v>
      </c>
      <c r="E184" s="25" t="s">
        <v>43</v>
      </c>
      <c r="F184" s="2" t="s">
        <v>45</v>
      </c>
      <c r="G184" s="7">
        <v>0.375</v>
      </c>
      <c r="H184" s="1">
        <v>0.79166666666666663</v>
      </c>
      <c r="I184" s="4" t="s">
        <v>29</v>
      </c>
      <c r="J184" s="2" t="s">
        <v>45</v>
      </c>
      <c r="K184" s="10" t="str">
        <f t="shared" si="3"/>
        <v>10.0</v>
      </c>
      <c r="L184" s="11">
        <v>168666</v>
      </c>
      <c r="M184" s="8">
        <v>4919</v>
      </c>
    </row>
    <row r="185" spans="1:13" hidden="1">
      <c r="A185" s="36">
        <v>183</v>
      </c>
      <c r="B185" s="4" t="s">
        <v>55</v>
      </c>
      <c r="C185" s="37" t="s">
        <v>96</v>
      </c>
      <c r="D185" s="19">
        <v>45853</v>
      </c>
      <c r="E185" s="26" t="s">
        <v>66</v>
      </c>
      <c r="F185" s="2" t="s">
        <v>45</v>
      </c>
      <c r="G185" s="27">
        <v>0.33333333333333331</v>
      </c>
      <c r="H185" s="1">
        <v>0.66666666666666663</v>
      </c>
      <c r="I185" s="2" t="s">
        <v>45</v>
      </c>
      <c r="J185" s="2" t="s">
        <v>36</v>
      </c>
      <c r="K185" s="10" t="str">
        <f t="shared" si="3"/>
        <v>8.0</v>
      </c>
      <c r="L185" s="8">
        <v>85619</v>
      </c>
      <c r="M185" s="8">
        <v>2680</v>
      </c>
    </row>
    <row r="186" spans="1:13">
      <c r="A186" s="4">
        <v>184</v>
      </c>
      <c r="B186" s="4" t="s">
        <v>37</v>
      </c>
      <c r="C186" s="37" t="s">
        <v>95</v>
      </c>
      <c r="D186" s="19">
        <v>45854</v>
      </c>
      <c r="E186" s="20" t="s">
        <v>75</v>
      </c>
      <c r="F186" s="7" t="s">
        <v>98</v>
      </c>
      <c r="G186" s="1">
        <v>0.58333333333333337</v>
      </c>
      <c r="H186" s="1">
        <v>0.9375</v>
      </c>
      <c r="I186" s="1" t="s">
        <v>98</v>
      </c>
      <c r="J186" s="2" t="s">
        <v>36</v>
      </c>
      <c r="K186" s="10" t="str">
        <f t="shared" si="3"/>
        <v>8.5</v>
      </c>
      <c r="L186" s="21">
        <v>135500</v>
      </c>
      <c r="M186" s="21">
        <v>5246</v>
      </c>
    </row>
    <row r="187" spans="1:13" hidden="1">
      <c r="A187" s="4">
        <v>185</v>
      </c>
      <c r="B187" s="4" t="s">
        <v>188</v>
      </c>
      <c r="C187" s="37" t="s">
        <v>55</v>
      </c>
      <c r="D187" s="19">
        <v>45855</v>
      </c>
      <c r="E187" s="25" t="s">
        <v>186</v>
      </c>
      <c r="F187" s="2" t="s">
        <v>45</v>
      </c>
      <c r="G187" s="7">
        <v>0.41666666666666669</v>
      </c>
      <c r="H187" s="1">
        <v>0.75</v>
      </c>
      <c r="I187" s="4" t="s">
        <v>13</v>
      </c>
      <c r="J187" s="2" t="s">
        <v>45</v>
      </c>
      <c r="K187" s="10" t="str">
        <f t="shared" si="3"/>
        <v>8.0</v>
      </c>
      <c r="L187" s="24">
        <v>77499</v>
      </c>
      <c r="M187" s="24">
        <v>2222</v>
      </c>
    </row>
    <row r="188" spans="1:13">
      <c r="A188" s="36">
        <v>186</v>
      </c>
      <c r="B188" s="4" t="s">
        <v>37</v>
      </c>
      <c r="C188" s="37" t="s">
        <v>95</v>
      </c>
      <c r="D188" s="19">
        <v>45855</v>
      </c>
      <c r="E188" s="25" t="s">
        <v>43</v>
      </c>
      <c r="F188" s="2" t="s">
        <v>45</v>
      </c>
      <c r="G188" s="7">
        <v>0.375</v>
      </c>
      <c r="H188" s="1">
        <v>0.79166666666666663</v>
      </c>
      <c r="I188" s="4" t="s">
        <v>47</v>
      </c>
      <c r="J188" s="2" t="s">
        <v>45</v>
      </c>
      <c r="K188" s="10" t="str">
        <f t="shared" si="3"/>
        <v>10.0</v>
      </c>
      <c r="L188" s="11">
        <v>168666</v>
      </c>
      <c r="M188" s="8">
        <v>4919</v>
      </c>
    </row>
    <row r="189" spans="1:13">
      <c r="A189" s="36">
        <v>187</v>
      </c>
      <c r="B189" s="4" t="s">
        <v>37</v>
      </c>
      <c r="C189" s="37" t="s">
        <v>95</v>
      </c>
      <c r="D189" s="19">
        <v>45855</v>
      </c>
      <c r="E189" s="4" t="s">
        <v>81</v>
      </c>
      <c r="F189" s="7" t="s">
        <v>20</v>
      </c>
      <c r="G189" s="7">
        <v>0.29166666666666669</v>
      </c>
      <c r="H189" s="1">
        <v>0.625</v>
      </c>
      <c r="I189" s="1" t="s">
        <v>79</v>
      </c>
      <c r="J189" s="2" t="s">
        <v>21</v>
      </c>
      <c r="K189" s="10" t="str">
        <f t="shared" si="3"/>
        <v>8.0</v>
      </c>
      <c r="L189" s="24">
        <v>115906</v>
      </c>
      <c r="M189" s="8">
        <v>3247</v>
      </c>
    </row>
    <row r="190" spans="1:13" hidden="1">
      <c r="A190" s="4">
        <v>188</v>
      </c>
      <c r="B190" s="4" t="s">
        <v>55</v>
      </c>
      <c r="C190" s="37" t="s">
        <v>96</v>
      </c>
      <c r="D190" s="19">
        <v>45858</v>
      </c>
      <c r="E190" s="26" t="s">
        <v>66</v>
      </c>
      <c r="F190" s="2" t="s">
        <v>45</v>
      </c>
      <c r="G190" s="27">
        <v>0.33333333333333331</v>
      </c>
      <c r="H190" s="1">
        <v>0.66666666666666663</v>
      </c>
      <c r="I190" s="2" t="s">
        <v>45</v>
      </c>
      <c r="J190" s="2" t="s">
        <v>36</v>
      </c>
      <c r="K190" s="10" t="str">
        <f t="shared" ref="K190:K243" si="4">TEXT((VALUE(H190)-VALUE(G190))*24,"0.0")</f>
        <v>8.0</v>
      </c>
      <c r="L190" s="8">
        <v>85619</v>
      </c>
      <c r="M190" s="8">
        <v>2680</v>
      </c>
    </row>
    <row r="191" spans="1:13" hidden="1">
      <c r="A191" s="4">
        <v>189</v>
      </c>
      <c r="B191" s="4" t="s">
        <v>55</v>
      </c>
      <c r="C191" s="37" t="s">
        <v>96</v>
      </c>
      <c r="D191" s="19">
        <v>45860</v>
      </c>
      <c r="E191" s="3" t="s">
        <v>19</v>
      </c>
      <c r="F191" s="5" t="s">
        <v>20</v>
      </c>
      <c r="G191" s="7">
        <v>0.29166666666666669</v>
      </c>
      <c r="H191" s="1">
        <v>0.66666666666666663</v>
      </c>
      <c r="I191" s="4" t="s">
        <v>13</v>
      </c>
      <c r="J191" s="2" t="s">
        <v>21</v>
      </c>
      <c r="K191" s="10" t="str">
        <f t="shared" si="4"/>
        <v>9.0</v>
      </c>
      <c r="L191" s="29">
        <v>91011</v>
      </c>
      <c r="M191" s="24">
        <v>2593</v>
      </c>
    </row>
    <row r="192" spans="1:13">
      <c r="A192" s="36">
        <v>190</v>
      </c>
      <c r="B192" s="4" t="s">
        <v>181</v>
      </c>
      <c r="C192" s="37" t="s">
        <v>37</v>
      </c>
      <c r="D192" s="19">
        <v>45860</v>
      </c>
      <c r="E192" s="6" t="s">
        <v>186</v>
      </c>
      <c r="F192" s="9" t="s">
        <v>45</v>
      </c>
      <c r="G192" s="7">
        <v>0.41666666666666669</v>
      </c>
      <c r="H192" s="1">
        <v>0.75</v>
      </c>
      <c r="I192" s="43" t="s">
        <v>29</v>
      </c>
      <c r="J192" s="2" t="s">
        <v>45</v>
      </c>
      <c r="K192" s="10" t="str">
        <f t="shared" si="4"/>
        <v>8.0</v>
      </c>
      <c r="L192" s="24">
        <v>77499</v>
      </c>
      <c r="M192" s="24">
        <v>2222</v>
      </c>
    </row>
    <row r="193" spans="1:13">
      <c r="A193" s="36">
        <v>191</v>
      </c>
      <c r="B193" s="4" t="s">
        <v>37</v>
      </c>
      <c r="C193" s="37" t="s">
        <v>95</v>
      </c>
      <c r="D193" s="19">
        <v>45861</v>
      </c>
      <c r="E193" s="26" t="s">
        <v>39</v>
      </c>
      <c r="F193" s="27" t="s">
        <v>98</v>
      </c>
      <c r="G193" s="27">
        <v>0.54166666666666663</v>
      </c>
      <c r="H193" s="1">
        <v>0.875</v>
      </c>
      <c r="I193" s="27" t="s">
        <v>98</v>
      </c>
      <c r="J193" s="2" t="s">
        <v>36</v>
      </c>
      <c r="K193" s="10" t="str">
        <f t="shared" si="4"/>
        <v>8.0</v>
      </c>
      <c r="L193" s="28">
        <v>169379</v>
      </c>
      <c r="M193" s="16">
        <v>5622</v>
      </c>
    </row>
    <row r="194" spans="1:13">
      <c r="A194" s="4">
        <v>192</v>
      </c>
      <c r="B194" s="4" t="s">
        <v>37</v>
      </c>
      <c r="C194" s="37" t="s">
        <v>95</v>
      </c>
      <c r="D194" s="19">
        <v>45861</v>
      </c>
      <c r="E194" s="26" t="s">
        <v>78</v>
      </c>
      <c r="F194" s="7" t="s">
        <v>20</v>
      </c>
      <c r="G194" s="7">
        <v>0.29166666666666669</v>
      </c>
      <c r="H194" s="1">
        <v>0.625</v>
      </c>
      <c r="I194" s="27" t="s">
        <v>13</v>
      </c>
      <c r="J194" s="2" t="s">
        <v>21</v>
      </c>
      <c r="K194" s="10" t="str">
        <f t="shared" si="4"/>
        <v>8.0</v>
      </c>
      <c r="L194" s="24">
        <v>115906</v>
      </c>
      <c r="M194" s="16">
        <v>3247</v>
      </c>
    </row>
    <row r="195" spans="1:13">
      <c r="A195" s="4">
        <v>193</v>
      </c>
      <c r="B195" s="4" t="s">
        <v>48</v>
      </c>
      <c r="C195" s="37" t="s">
        <v>95</v>
      </c>
      <c r="D195" s="19">
        <v>45862</v>
      </c>
      <c r="E195" s="25" t="s">
        <v>43</v>
      </c>
      <c r="F195" s="2" t="s">
        <v>45</v>
      </c>
      <c r="G195" s="7">
        <v>0.375</v>
      </c>
      <c r="H195" s="1">
        <v>0.79166666666666663</v>
      </c>
      <c r="I195" s="4" t="s">
        <v>49</v>
      </c>
      <c r="J195" s="2" t="s">
        <v>45</v>
      </c>
      <c r="K195" s="10" t="str">
        <f t="shared" si="4"/>
        <v>10.0</v>
      </c>
      <c r="L195" s="11">
        <v>168666</v>
      </c>
      <c r="M195" s="8">
        <v>4919</v>
      </c>
    </row>
    <row r="196" spans="1:13" hidden="1">
      <c r="A196" s="36">
        <v>194</v>
      </c>
      <c r="B196" s="4" t="s">
        <v>55</v>
      </c>
      <c r="C196" s="37" t="s">
        <v>96</v>
      </c>
      <c r="D196" s="19">
        <v>45863</v>
      </c>
      <c r="E196" s="26" t="s">
        <v>66</v>
      </c>
      <c r="F196" s="2" t="s">
        <v>45</v>
      </c>
      <c r="G196" s="27">
        <v>0.33333333333333331</v>
      </c>
      <c r="H196" s="1">
        <v>0.66666666666666663</v>
      </c>
      <c r="I196" s="2" t="s">
        <v>45</v>
      </c>
      <c r="J196" s="2" t="s">
        <v>36</v>
      </c>
      <c r="K196" s="10" t="str">
        <f t="shared" si="4"/>
        <v>8.0</v>
      </c>
      <c r="L196" s="8">
        <v>85619</v>
      </c>
      <c r="M196" s="8">
        <v>2680</v>
      </c>
    </row>
    <row r="197" spans="1:13" hidden="1">
      <c r="A197" s="36">
        <v>195</v>
      </c>
      <c r="B197" s="4" t="s">
        <v>55</v>
      </c>
      <c r="C197" s="37" t="s">
        <v>55</v>
      </c>
      <c r="D197" s="19">
        <v>45865</v>
      </c>
      <c r="E197" s="6" t="s">
        <v>186</v>
      </c>
      <c r="F197" s="7" t="s">
        <v>45</v>
      </c>
      <c r="G197" s="7">
        <v>0.41666666666666669</v>
      </c>
      <c r="H197" s="1">
        <v>0.75</v>
      </c>
      <c r="I197" s="2" t="s">
        <v>29</v>
      </c>
      <c r="J197" s="2" t="s">
        <v>45</v>
      </c>
      <c r="K197" s="10" t="str">
        <f t="shared" si="4"/>
        <v>8.0</v>
      </c>
      <c r="L197" s="24">
        <v>77499</v>
      </c>
      <c r="M197" s="24">
        <v>2222</v>
      </c>
    </row>
    <row r="198" spans="1:13" hidden="1">
      <c r="A198" s="4">
        <v>196</v>
      </c>
      <c r="B198" s="4" t="s">
        <v>55</v>
      </c>
      <c r="C198" s="37" t="s">
        <v>96</v>
      </c>
      <c r="D198" s="19">
        <v>45868</v>
      </c>
      <c r="E198" s="26" t="s">
        <v>66</v>
      </c>
      <c r="F198" s="2" t="s">
        <v>45</v>
      </c>
      <c r="G198" s="27">
        <v>0.33333333333333331</v>
      </c>
      <c r="H198" s="1">
        <v>0.66666666666666663</v>
      </c>
      <c r="I198" s="2" t="s">
        <v>45</v>
      </c>
      <c r="J198" s="2" t="s">
        <v>13</v>
      </c>
      <c r="K198" s="10" t="str">
        <f t="shared" si="4"/>
        <v>8.0</v>
      </c>
      <c r="L198" s="8">
        <v>85619</v>
      </c>
      <c r="M198" s="8">
        <v>2680</v>
      </c>
    </row>
    <row r="199" spans="1:13" hidden="1">
      <c r="A199" s="4">
        <v>197</v>
      </c>
      <c r="B199" s="4" t="s">
        <v>55</v>
      </c>
      <c r="C199" s="37" t="s">
        <v>55</v>
      </c>
      <c r="D199" s="19">
        <v>45870</v>
      </c>
      <c r="E199" s="6" t="s">
        <v>186</v>
      </c>
      <c r="F199" s="7" t="s">
        <v>45</v>
      </c>
      <c r="G199" s="7">
        <v>0.41666666666666669</v>
      </c>
      <c r="H199" s="1">
        <v>0.75</v>
      </c>
      <c r="I199" s="2" t="s">
        <v>36</v>
      </c>
      <c r="J199" s="2" t="s">
        <v>45</v>
      </c>
      <c r="K199" s="10" t="str">
        <f t="shared" si="4"/>
        <v>8.0</v>
      </c>
      <c r="L199" s="24">
        <v>77499</v>
      </c>
      <c r="M199" s="24">
        <v>2222</v>
      </c>
    </row>
    <row r="200" spans="1:13">
      <c r="A200" s="36">
        <v>198</v>
      </c>
      <c r="B200" s="4" t="s">
        <v>48</v>
      </c>
      <c r="C200" s="37" t="s">
        <v>95</v>
      </c>
      <c r="D200" s="19">
        <v>45871</v>
      </c>
      <c r="E200" s="25" t="s">
        <v>43</v>
      </c>
      <c r="F200" s="2" t="s">
        <v>45</v>
      </c>
      <c r="G200" s="7">
        <v>0.29166666666666669</v>
      </c>
      <c r="H200" s="1">
        <v>0.75</v>
      </c>
      <c r="I200" s="4" t="s">
        <v>45</v>
      </c>
      <c r="J200" s="2" t="s">
        <v>18</v>
      </c>
      <c r="K200" s="10" t="str">
        <f t="shared" si="4"/>
        <v>11.0</v>
      </c>
      <c r="L200" s="11">
        <v>168666</v>
      </c>
      <c r="M200" s="8">
        <v>4919</v>
      </c>
    </row>
    <row r="201" spans="1:13" hidden="1">
      <c r="A201" s="36">
        <v>199</v>
      </c>
      <c r="B201" s="4" t="s">
        <v>55</v>
      </c>
      <c r="C201" s="37" t="s">
        <v>96</v>
      </c>
      <c r="D201" s="19">
        <v>45873</v>
      </c>
      <c r="E201" s="26" t="s">
        <v>66</v>
      </c>
      <c r="F201" s="2" t="s">
        <v>45</v>
      </c>
      <c r="G201" s="27">
        <v>0.33333333333333331</v>
      </c>
      <c r="H201" s="1">
        <v>0.66666666666666663</v>
      </c>
      <c r="I201" s="2" t="s">
        <v>45</v>
      </c>
      <c r="J201" s="2" t="s">
        <v>36</v>
      </c>
      <c r="K201" s="10" t="str">
        <f t="shared" si="4"/>
        <v>8.0</v>
      </c>
      <c r="L201" s="8">
        <v>85619</v>
      </c>
      <c r="M201" s="8">
        <v>2680</v>
      </c>
    </row>
    <row r="202" spans="1:13">
      <c r="A202" s="4">
        <v>200</v>
      </c>
      <c r="B202" s="4" t="s">
        <v>37</v>
      </c>
      <c r="C202" s="37" t="s">
        <v>95</v>
      </c>
      <c r="D202" s="19">
        <v>45874</v>
      </c>
      <c r="E202" s="20" t="s">
        <v>75</v>
      </c>
      <c r="F202" s="7" t="s">
        <v>98</v>
      </c>
      <c r="G202" s="1">
        <v>0.29166666666666669</v>
      </c>
      <c r="H202" s="1">
        <v>0.75</v>
      </c>
      <c r="I202" s="1" t="s">
        <v>98</v>
      </c>
      <c r="J202" s="2" t="s">
        <v>36</v>
      </c>
      <c r="K202" s="10" t="str">
        <f t="shared" si="4"/>
        <v>11.0</v>
      </c>
      <c r="L202" s="21">
        <v>135500</v>
      </c>
      <c r="M202" s="21">
        <v>5246</v>
      </c>
    </row>
    <row r="203" spans="1:13" hidden="1">
      <c r="A203" s="4">
        <v>201</v>
      </c>
      <c r="B203" s="4" t="s">
        <v>55</v>
      </c>
      <c r="C203" s="37" t="s">
        <v>55</v>
      </c>
      <c r="D203" s="19">
        <v>45875</v>
      </c>
      <c r="E203" s="25" t="s">
        <v>186</v>
      </c>
      <c r="F203" s="7" t="s">
        <v>45</v>
      </c>
      <c r="G203" s="7">
        <v>0.41666666666666669</v>
      </c>
      <c r="H203" s="1">
        <v>0.75</v>
      </c>
      <c r="I203" s="4" t="s">
        <v>13</v>
      </c>
      <c r="J203" s="7" t="s">
        <v>45</v>
      </c>
      <c r="K203" s="10" t="str">
        <f t="shared" si="4"/>
        <v>8.0</v>
      </c>
      <c r="L203" s="24">
        <v>77499</v>
      </c>
      <c r="M203" s="24">
        <v>2222</v>
      </c>
    </row>
    <row r="204" spans="1:13">
      <c r="A204" s="36">
        <v>202</v>
      </c>
      <c r="B204" s="4" t="s">
        <v>37</v>
      </c>
      <c r="C204" s="37" t="s">
        <v>95</v>
      </c>
      <c r="D204" s="19">
        <v>45876</v>
      </c>
      <c r="E204" s="26" t="s">
        <v>39</v>
      </c>
      <c r="F204" s="27" t="s">
        <v>98</v>
      </c>
      <c r="G204" s="27">
        <v>0.54166666666666663</v>
      </c>
      <c r="H204" s="1">
        <v>0.875</v>
      </c>
      <c r="I204" s="27" t="s">
        <v>98</v>
      </c>
      <c r="J204" s="2" t="s">
        <v>36</v>
      </c>
      <c r="K204" s="10" t="str">
        <f t="shared" si="4"/>
        <v>8.0</v>
      </c>
      <c r="L204" s="28">
        <v>169379</v>
      </c>
      <c r="M204" s="16">
        <v>5622</v>
      </c>
    </row>
    <row r="205" spans="1:13" hidden="1">
      <c r="A205" s="36">
        <v>203</v>
      </c>
      <c r="B205" s="4" t="s">
        <v>55</v>
      </c>
      <c r="C205" s="37" t="s">
        <v>96</v>
      </c>
      <c r="D205" s="19">
        <v>45877</v>
      </c>
      <c r="E205" s="25" t="s">
        <v>15</v>
      </c>
      <c r="F205" s="20" t="s">
        <v>65</v>
      </c>
      <c r="G205" s="7">
        <v>0.29166666666666669</v>
      </c>
      <c r="H205" s="1">
        <v>0.70833333333333337</v>
      </c>
      <c r="I205" s="4" t="s">
        <v>87</v>
      </c>
      <c r="J205" s="4" t="s">
        <v>65</v>
      </c>
      <c r="K205" s="10" t="str">
        <f t="shared" si="4"/>
        <v>10.0</v>
      </c>
      <c r="L205" s="11">
        <v>75904</v>
      </c>
      <c r="M205" s="8">
        <v>2018</v>
      </c>
    </row>
    <row r="206" spans="1:13" hidden="1">
      <c r="A206" s="4">
        <v>204</v>
      </c>
      <c r="B206" s="4" t="s">
        <v>55</v>
      </c>
      <c r="C206" s="37" t="s">
        <v>96</v>
      </c>
      <c r="D206" s="19">
        <v>45878</v>
      </c>
      <c r="E206" s="26" t="s">
        <v>66</v>
      </c>
      <c r="F206" s="2" t="s">
        <v>45</v>
      </c>
      <c r="G206" s="27">
        <v>0.33333333333333331</v>
      </c>
      <c r="H206" s="1">
        <v>0.66666666666666663</v>
      </c>
      <c r="I206" s="2" t="s">
        <v>45</v>
      </c>
      <c r="J206" s="2" t="s">
        <v>72</v>
      </c>
      <c r="K206" s="10" t="str">
        <f t="shared" si="4"/>
        <v>8.0</v>
      </c>
      <c r="L206" s="8">
        <v>85619</v>
      </c>
      <c r="M206" s="8">
        <v>2680</v>
      </c>
    </row>
    <row r="207" spans="1:13" hidden="1">
      <c r="A207" s="4">
        <v>205</v>
      </c>
      <c r="B207" s="4" t="s">
        <v>55</v>
      </c>
      <c r="C207" s="37" t="s">
        <v>96</v>
      </c>
      <c r="D207" s="19">
        <v>45880</v>
      </c>
      <c r="E207" s="25" t="s">
        <v>15</v>
      </c>
      <c r="F207" s="20" t="s">
        <v>65</v>
      </c>
      <c r="G207" s="7">
        <v>0.375</v>
      </c>
      <c r="H207" s="1">
        <v>0.70833333333333337</v>
      </c>
      <c r="I207" s="4" t="s">
        <v>65</v>
      </c>
      <c r="J207" s="4" t="s">
        <v>87</v>
      </c>
      <c r="K207" s="10" t="str">
        <f t="shared" si="4"/>
        <v>8.0</v>
      </c>
      <c r="L207" s="11">
        <v>75904</v>
      </c>
      <c r="M207" s="8">
        <v>2018</v>
      </c>
    </row>
    <row r="208" spans="1:13">
      <c r="A208" s="36">
        <v>206</v>
      </c>
      <c r="B208" s="4" t="s">
        <v>181</v>
      </c>
      <c r="C208" s="37" t="s">
        <v>181</v>
      </c>
      <c r="D208" s="19">
        <v>45880</v>
      </c>
      <c r="E208" s="25" t="s">
        <v>186</v>
      </c>
      <c r="F208" s="20" t="s">
        <v>45</v>
      </c>
      <c r="G208" s="7">
        <v>0.41666666666666669</v>
      </c>
      <c r="H208" s="1">
        <v>0.75</v>
      </c>
      <c r="I208" s="4" t="s">
        <v>36</v>
      </c>
      <c r="J208" s="4" t="s">
        <v>45</v>
      </c>
      <c r="K208" s="10" t="str">
        <f t="shared" si="4"/>
        <v>8.0</v>
      </c>
      <c r="L208" s="24">
        <v>77499</v>
      </c>
      <c r="M208" s="24">
        <v>2222</v>
      </c>
    </row>
    <row r="209" spans="1:13">
      <c r="A209" s="36">
        <v>207</v>
      </c>
      <c r="B209" s="4" t="s">
        <v>48</v>
      </c>
      <c r="C209" s="37" t="s">
        <v>95</v>
      </c>
      <c r="D209" s="19">
        <v>45882</v>
      </c>
      <c r="E209" s="25" t="s">
        <v>43</v>
      </c>
      <c r="F209" s="2" t="s">
        <v>45</v>
      </c>
      <c r="G209" s="7">
        <v>0.375</v>
      </c>
      <c r="H209" s="1">
        <v>0.79166666666666663</v>
      </c>
      <c r="I209" s="4" t="s">
        <v>47</v>
      </c>
      <c r="J209" s="2" t="s">
        <v>45</v>
      </c>
      <c r="K209" s="10" t="str">
        <f t="shared" si="4"/>
        <v>10.0</v>
      </c>
      <c r="L209" s="11">
        <v>168666</v>
      </c>
      <c r="M209" s="8">
        <v>4919</v>
      </c>
    </row>
    <row r="210" spans="1:13" hidden="1">
      <c r="A210" s="4">
        <v>208</v>
      </c>
      <c r="B210" s="4" t="s">
        <v>55</v>
      </c>
      <c r="C210" s="37" t="s">
        <v>96</v>
      </c>
      <c r="D210" s="19">
        <v>45883</v>
      </c>
      <c r="E210" s="26" t="s">
        <v>66</v>
      </c>
      <c r="F210" s="2" t="s">
        <v>45</v>
      </c>
      <c r="G210" s="27">
        <v>0.33333333333333331</v>
      </c>
      <c r="H210" s="1">
        <v>0.66666666666666663</v>
      </c>
      <c r="I210" s="2" t="s">
        <v>45</v>
      </c>
      <c r="J210" s="2" t="s">
        <v>36</v>
      </c>
      <c r="K210" s="10" t="str">
        <f t="shared" si="4"/>
        <v>8.0</v>
      </c>
      <c r="L210" s="8">
        <v>85619</v>
      </c>
      <c r="M210" s="8">
        <v>2680</v>
      </c>
    </row>
    <row r="211" spans="1:13" hidden="1">
      <c r="A211" s="4">
        <v>209</v>
      </c>
      <c r="B211" s="4" t="s">
        <v>55</v>
      </c>
      <c r="C211" s="37" t="s">
        <v>55</v>
      </c>
      <c r="D211" s="19">
        <v>45885</v>
      </c>
      <c r="E211" s="25" t="s">
        <v>186</v>
      </c>
      <c r="F211" s="7" t="s">
        <v>45</v>
      </c>
      <c r="G211" s="7">
        <v>0.41666666666666669</v>
      </c>
      <c r="H211" s="1">
        <v>0.75</v>
      </c>
      <c r="I211" s="4" t="s">
        <v>13</v>
      </c>
      <c r="J211" s="7" t="s">
        <v>45</v>
      </c>
      <c r="K211" s="10" t="str">
        <f t="shared" si="4"/>
        <v>8.0</v>
      </c>
      <c r="L211" s="24">
        <v>77499</v>
      </c>
      <c r="M211" s="24">
        <v>2222</v>
      </c>
    </row>
    <row r="212" spans="1:13">
      <c r="A212" s="36">
        <v>210</v>
      </c>
      <c r="B212" s="4" t="s">
        <v>180</v>
      </c>
      <c r="C212" s="37" t="s">
        <v>180</v>
      </c>
      <c r="D212" s="19">
        <v>45885</v>
      </c>
      <c r="E212" s="20" t="s">
        <v>75</v>
      </c>
      <c r="F212" s="7" t="s">
        <v>98</v>
      </c>
      <c r="G212" s="27">
        <v>0.375</v>
      </c>
      <c r="H212" s="1">
        <v>0.75</v>
      </c>
      <c r="I212" s="27" t="s">
        <v>29</v>
      </c>
      <c r="J212" s="7" t="s">
        <v>98</v>
      </c>
      <c r="K212" s="84" t="str">
        <f t="shared" si="4"/>
        <v>9.0</v>
      </c>
      <c r="L212" s="24">
        <v>135500</v>
      </c>
      <c r="M212" s="24">
        <v>5246</v>
      </c>
    </row>
    <row r="213" spans="1:13" hidden="1">
      <c r="A213" s="36">
        <v>211</v>
      </c>
      <c r="B213" s="4" t="s">
        <v>55</v>
      </c>
      <c r="C213" s="37" t="s">
        <v>96</v>
      </c>
      <c r="D213" s="19">
        <v>45888</v>
      </c>
      <c r="E213" s="26" t="s">
        <v>66</v>
      </c>
      <c r="F213" s="2" t="s">
        <v>45</v>
      </c>
      <c r="G213" s="27">
        <v>0.33333333333333331</v>
      </c>
      <c r="H213" s="1">
        <v>0.66666666666666663</v>
      </c>
      <c r="I213" s="2" t="s">
        <v>45</v>
      </c>
      <c r="J213" s="2" t="s">
        <v>36</v>
      </c>
      <c r="K213" s="10" t="str">
        <f t="shared" si="4"/>
        <v>8.0</v>
      </c>
      <c r="L213" s="8">
        <v>85619</v>
      </c>
      <c r="M213" s="8">
        <v>2680</v>
      </c>
    </row>
    <row r="214" spans="1:13" hidden="1">
      <c r="A214" s="4">
        <v>212</v>
      </c>
      <c r="B214" s="4" t="s">
        <v>55</v>
      </c>
      <c r="C214" s="37" t="s">
        <v>55</v>
      </c>
      <c r="D214" s="19">
        <v>45890</v>
      </c>
      <c r="E214" s="25" t="s">
        <v>186</v>
      </c>
      <c r="F214" s="7" t="s">
        <v>45</v>
      </c>
      <c r="G214" s="7">
        <v>0.41666666666666669</v>
      </c>
      <c r="H214" s="1">
        <v>0.75</v>
      </c>
      <c r="I214" s="2" t="s">
        <v>29</v>
      </c>
      <c r="J214" s="42" t="s">
        <v>45</v>
      </c>
      <c r="K214" s="10" t="str">
        <f t="shared" si="4"/>
        <v>8.0</v>
      </c>
      <c r="L214" s="24">
        <v>77499</v>
      </c>
      <c r="M214" s="24">
        <v>2222</v>
      </c>
    </row>
    <row r="215" spans="1:13">
      <c r="A215" s="4">
        <v>213</v>
      </c>
      <c r="B215" s="4" t="s">
        <v>37</v>
      </c>
      <c r="C215" s="37" t="s">
        <v>37</v>
      </c>
      <c r="D215" s="19">
        <v>45890</v>
      </c>
      <c r="E215" s="26" t="s">
        <v>76</v>
      </c>
      <c r="F215" s="42" t="s">
        <v>177</v>
      </c>
      <c r="G215" s="27">
        <v>0.41666666666666669</v>
      </c>
      <c r="H215" s="1">
        <v>0.91666666666666663</v>
      </c>
      <c r="I215" s="2" t="s">
        <v>178</v>
      </c>
      <c r="J215" s="42" t="s">
        <v>177</v>
      </c>
      <c r="K215" s="10" t="str">
        <f t="shared" si="4"/>
        <v>12.0</v>
      </c>
      <c r="L215" s="68">
        <v>137936</v>
      </c>
      <c r="M215" s="8">
        <v>4363</v>
      </c>
    </row>
    <row r="216" spans="1:13" hidden="1">
      <c r="A216" s="36">
        <v>214</v>
      </c>
      <c r="B216" s="4" t="s">
        <v>55</v>
      </c>
      <c r="C216" s="37" t="s">
        <v>96</v>
      </c>
      <c r="D216" s="19">
        <v>45893</v>
      </c>
      <c r="E216" s="26" t="s">
        <v>66</v>
      </c>
      <c r="F216" s="2" t="s">
        <v>45</v>
      </c>
      <c r="G216" s="27">
        <v>0.33333333333333331</v>
      </c>
      <c r="H216" s="1">
        <v>0.66666666666666663</v>
      </c>
      <c r="I216" s="2" t="s">
        <v>45</v>
      </c>
      <c r="J216" s="2" t="s">
        <v>13</v>
      </c>
      <c r="K216" s="10" t="str">
        <f t="shared" si="4"/>
        <v>8.0</v>
      </c>
      <c r="L216" s="8">
        <v>85619</v>
      </c>
      <c r="M216" s="8">
        <v>2680</v>
      </c>
    </row>
    <row r="217" spans="1:13">
      <c r="A217" s="36">
        <v>215</v>
      </c>
      <c r="B217" s="4" t="s">
        <v>37</v>
      </c>
      <c r="C217" s="37" t="s">
        <v>37</v>
      </c>
      <c r="D217" s="19">
        <v>45893</v>
      </c>
      <c r="E217" s="20" t="s">
        <v>75</v>
      </c>
      <c r="F217" s="7" t="s">
        <v>98</v>
      </c>
      <c r="G217" s="27">
        <v>0.41666666666666669</v>
      </c>
      <c r="H217" s="1">
        <v>0.83333333333333337</v>
      </c>
      <c r="I217" s="2" t="s">
        <v>13</v>
      </c>
      <c r="J217" s="1" t="s">
        <v>98</v>
      </c>
      <c r="K217" s="10" t="str">
        <f t="shared" si="4"/>
        <v>10.0</v>
      </c>
      <c r="L217" s="21">
        <v>135500</v>
      </c>
      <c r="M217" s="21">
        <v>5246</v>
      </c>
    </row>
    <row r="218" spans="1:13" hidden="1">
      <c r="A218" s="4">
        <v>216</v>
      </c>
      <c r="B218" s="4" t="s">
        <v>96</v>
      </c>
      <c r="C218" s="37" t="s">
        <v>96</v>
      </c>
      <c r="D218" s="19">
        <v>45895</v>
      </c>
      <c r="E218" s="3" t="s">
        <v>19</v>
      </c>
      <c r="F218" s="5" t="s">
        <v>20</v>
      </c>
      <c r="G218" s="7">
        <v>0.29166666666666669</v>
      </c>
      <c r="H218" s="1">
        <v>0.66666666666666663</v>
      </c>
      <c r="I218" s="4" t="s">
        <v>13</v>
      </c>
      <c r="J218" s="2" t="s">
        <v>23</v>
      </c>
      <c r="K218" s="10" t="str">
        <f t="shared" si="4"/>
        <v>9.0</v>
      </c>
      <c r="L218" s="29">
        <v>91011</v>
      </c>
      <c r="M218" s="24">
        <v>2593</v>
      </c>
    </row>
    <row r="219" spans="1:13">
      <c r="A219" s="4">
        <v>217</v>
      </c>
      <c r="B219" s="4" t="s">
        <v>37</v>
      </c>
      <c r="C219" s="37" t="s">
        <v>37</v>
      </c>
      <c r="D219" s="19">
        <v>45895</v>
      </c>
      <c r="E219" s="3" t="s">
        <v>186</v>
      </c>
      <c r="F219" s="9" t="s">
        <v>45</v>
      </c>
      <c r="G219" s="7">
        <v>0.41666666666666669</v>
      </c>
      <c r="H219" s="1">
        <v>0.75</v>
      </c>
      <c r="I219" s="4" t="s">
        <v>13</v>
      </c>
      <c r="J219" s="2" t="s">
        <v>45</v>
      </c>
      <c r="K219" s="10" t="str">
        <f t="shared" si="4"/>
        <v>8.0</v>
      </c>
      <c r="L219" s="24">
        <v>77499</v>
      </c>
      <c r="M219" s="24">
        <v>2222</v>
      </c>
    </row>
    <row r="220" spans="1:13">
      <c r="A220" s="36">
        <v>218</v>
      </c>
      <c r="B220" s="4" t="s">
        <v>37</v>
      </c>
      <c r="C220" s="37" t="s">
        <v>95</v>
      </c>
      <c r="D220" s="19">
        <v>45896</v>
      </c>
      <c r="E220" s="20" t="s">
        <v>75</v>
      </c>
      <c r="F220" s="7" t="s">
        <v>98</v>
      </c>
      <c r="G220" s="1">
        <v>0.58333333333333337</v>
      </c>
      <c r="H220" s="1">
        <v>0.9375</v>
      </c>
      <c r="I220" s="1" t="s">
        <v>98</v>
      </c>
      <c r="J220" s="2" t="s">
        <v>13</v>
      </c>
      <c r="K220" s="10" t="str">
        <f t="shared" si="4"/>
        <v>8.5</v>
      </c>
      <c r="L220" s="21">
        <v>135500</v>
      </c>
      <c r="M220" s="21">
        <v>5246</v>
      </c>
    </row>
    <row r="221" spans="1:13" hidden="1">
      <c r="A221" s="36">
        <v>219</v>
      </c>
      <c r="B221" s="4" t="s">
        <v>55</v>
      </c>
      <c r="C221" s="37" t="s">
        <v>96</v>
      </c>
      <c r="D221" s="19">
        <v>45898</v>
      </c>
      <c r="E221" s="26" t="s">
        <v>66</v>
      </c>
      <c r="F221" s="2" t="s">
        <v>45</v>
      </c>
      <c r="G221" s="27">
        <v>0.33333333333333331</v>
      </c>
      <c r="H221" s="1">
        <v>0.66666666666666663</v>
      </c>
      <c r="I221" s="2" t="s">
        <v>45</v>
      </c>
      <c r="J221" s="2" t="s">
        <v>36</v>
      </c>
      <c r="K221" s="10" t="str">
        <f t="shared" si="4"/>
        <v>8.0</v>
      </c>
      <c r="L221" s="8">
        <v>85619</v>
      </c>
      <c r="M221" s="8">
        <v>2680</v>
      </c>
    </row>
    <row r="222" spans="1:13">
      <c r="A222" s="4">
        <v>220</v>
      </c>
      <c r="B222" s="4" t="s">
        <v>37</v>
      </c>
      <c r="C222" s="37" t="s">
        <v>95</v>
      </c>
      <c r="D222" s="19">
        <v>45899</v>
      </c>
      <c r="E222" s="26" t="s">
        <v>39</v>
      </c>
      <c r="F222" s="27" t="s">
        <v>98</v>
      </c>
      <c r="G222" s="27">
        <v>0.54166666666666663</v>
      </c>
      <c r="H222" s="1">
        <v>0.875</v>
      </c>
      <c r="I222" s="27" t="s">
        <v>98</v>
      </c>
      <c r="J222" s="27" t="s">
        <v>98</v>
      </c>
      <c r="K222" s="10" t="str">
        <f t="shared" si="4"/>
        <v>8.0</v>
      </c>
      <c r="L222" s="28">
        <v>169379</v>
      </c>
      <c r="M222" s="16">
        <v>5622</v>
      </c>
    </row>
    <row r="223" spans="1:13" hidden="1">
      <c r="A223" s="4">
        <v>221</v>
      </c>
      <c r="B223" s="4" t="s">
        <v>55</v>
      </c>
      <c r="C223" s="37" t="s">
        <v>55</v>
      </c>
      <c r="D223" s="19">
        <v>45900</v>
      </c>
      <c r="E223" s="26" t="s">
        <v>186</v>
      </c>
      <c r="F223" s="7" t="s">
        <v>45</v>
      </c>
      <c r="G223" s="7">
        <v>0.41666666666666669</v>
      </c>
      <c r="H223" s="1">
        <v>0.75</v>
      </c>
      <c r="I223" s="27" t="s">
        <v>29</v>
      </c>
      <c r="J223" s="27" t="s">
        <v>45</v>
      </c>
      <c r="K223" s="10" t="str">
        <f t="shared" si="4"/>
        <v>8.0</v>
      </c>
      <c r="L223" s="24">
        <v>77499</v>
      </c>
      <c r="M223" s="24">
        <v>2222</v>
      </c>
    </row>
    <row r="224" spans="1:13">
      <c r="A224" s="36">
        <v>222</v>
      </c>
      <c r="B224" s="4" t="s">
        <v>37</v>
      </c>
      <c r="C224" s="37" t="s">
        <v>95</v>
      </c>
      <c r="D224" s="19">
        <v>45900</v>
      </c>
      <c r="E224" s="20" t="s">
        <v>75</v>
      </c>
      <c r="F224" s="7" t="s">
        <v>98</v>
      </c>
      <c r="G224" s="1">
        <v>0.58333333333333337</v>
      </c>
      <c r="H224" s="1">
        <v>0.9375</v>
      </c>
      <c r="I224" s="1" t="s">
        <v>98</v>
      </c>
      <c r="J224" s="2" t="s">
        <v>36</v>
      </c>
      <c r="K224" s="10" t="str">
        <f t="shared" si="4"/>
        <v>8.5</v>
      </c>
      <c r="L224" s="21">
        <v>135500</v>
      </c>
      <c r="M224" s="21">
        <v>5246</v>
      </c>
    </row>
    <row r="225" spans="1:13">
      <c r="A225" s="36">
        <v>223</v>
      </c>
      <c r="B225" s="4" t="s">
        <v>48</v>
      </c>
      <c r="C225" s="37" t="s">
        <v>95</v>
      </c>
      <c r="D225" s="19">
        <v>45901</v>
      </c>
      <c r="E225" s="25" t="s">
        <v>43</v>
      </c>
      <c r="F225" s="2" t="s">
        <v>45</v>
      </c>
      <c r="G225" s="71">
        <v>0.33333333333333331</v>
      </c>
      <c r="H225" s="1">
        <v>0.79166666666666663</v>
      </c>
      <c r="I225" s="4" t="s">
        <v>47</v>
      </c>
      <c r="J225" s="2" t="s">
        <v>45</v>
      </c>
      <c r="K225" s="10" t="str">
        <f t="shared" si="4"/>
        <v>11.0</v>
      </c>
      <c r="L225" s="11">
        <v>168666</v>
      </c>
      <c r="M225" s="8">
        <v>4919</v>
      </c>
    </row>
    <row r="226" spans="1:13">
      <c r="A226" s="4">
        <v>224</v>
      </c>
      <c r="B226" s="4" t="s">
        <v>85</v>
      </c>
      <c r="C226" s="37" t="s">
        <v>95</v>
      </c>
      <c r="D226" s="19">
        <v>45901</v>
      </c>
      <c r="E226" s="6" t="s">
        <v>184</v>
      </c>
      <c r="F226" s="7" t="s">
        <v>45</v>
      </c>
      <c r="G226" s="72">
        <v>0.41666666666666669</v>
      </c>
      <c r="H226" s="1">
        <v>0.75</v>
      </c>
      <c r="I226" s="20" t="s">
        <v>18</v>
      </c>
      <c r="J226" s="7" t="s">
        <v>45</v>
      </c>
      <c r="K226" s="10" t="str">
        <f t="shared" si="4"/>
        <v>8.0</v>
      </c>
      <c r="L226" s="24">
        <v>77499</v>
      </c>
      <c r="M226" s="24">
        <v>2222</v>
      </c>
    </row>
    <row r="227" spans="1:13" hidden="1">
      <c r="A227" s="4">
        <v>225</v>
      </c>
      <c r="B227" s="4" t="s">
        <v>55</v>
      </c>
      <c r="C227" s="37" t="s">
        <v>96</v>
      </c>
      <c r="D227" s="19">
        <v>45901</v>
      </c>
      <c r="E227" s="25" t="s">
        <v>15</v>
      </c>
      <c r="F227" s="20" t="s">
        <v>65</v>
      </c>
      <c r="G227" s="7">
        <v>0.33333333333333331</v>
      </c>
      <c r="H227" s="1">
        <v>0.66666666666666663</v>
      </c>
      <c r="I227" s="4" t="s">
        <v>87</v>
      </c>
      <c r="J227" s="4" t="s">
        <v>65</v>
      </c>
      <c r="K227" s="10" t="str">
        <f t="shared" si="4"/>
        <v>8.0</v>
      </c>
      <c r="L227" s="11">
        <v>75904</v>
      </c>
      <c r="M227" s="8">
        <v>2018</v>
      </c>
    </row>
    <row r="228" spans="1:13" hidden="1">
      <c r="A228" s="36">
        <v>226</v>
      </c>
      <c r="B228" s="4" t="s">
        <v>55</v>
      </c>
      <c r="C228" s="37" t="s">
        <v>96</v>
      </c>
      <c r="D228" s="19">
        <v>45903</v>
      </c>
      <c r="E228" s="26" t="s">
        <v>66</v>
      </c>
      <c r="F228" s="2" t="s">
        <v>45</v>
      </c>
      <c r="G228" s="27">
        <v>0.33333333333333331</v>
      </c>
      <c r="H228" s="1">
        <v>0.66666666666666663</v>
      </c>
      <c r="I228" s="2" t="s">
        <v>45</v>
      </c>
      <c r="J228" s="2" t="s">
        <v>36</v>
      </c>
      <c r="K228" s="10" t="str">
        <f t="shared" si="4"/>
        <v>8.0</v>
      </c>
      <c r="L228" s="8">
        <v>85619</v>
      </c>
      <c r="M228" s="8">
        <v>2680</v>
      </c>
    </row>
    <row r="229" spans="1:13" hidden="1">
      <c r="A229" s="36">
        <v>227</v>
      </c>
      <c r="B229" s="4" t="s">
        <v>55</v>
      </c>
      <c r="C229" s="37" t="s">
        <v>96</v>
      </c>
      <c r="D229" s="19">
        <v>45904</v>
      </c>
      <c r="E229" s="25" t="s">
        <v>15</v>
      </c>
      <c r="F229" s="20" t="s">
        <v>65</v>
      </c>
      <c r="G229" s="7">
        <v>0.375</v>
      </c>
      <c r="H229" s="1">
        <v>0.70833333333333337</v>
      </c>
      <c r="I229" s="4" t="s">
        <v>65</v>
      </c>
      <c r="J229" s="4" t="s">
        <v>87</v>
      </c>
      <c r="K229" s="10" t="str">
        <f t="shared" si="4"/>
        <v>8.0</v>
      </c>
      <c r="L229" s="11">
        <v>75904</v>
      </c>
      <c r="M229" s="8">
        <v>2018</v>
      </c>
    </row>
    <row r="230" spans="1:13" hidden="1">
      <c r="A230" s="4">
        <v>228</v>
      </c>
      <c r="B230" s="4" t="s">
        <v>85</v>
      </c>
      <c r="C230" s="37" t="s">
        <v>96</v>
      </c>
      <c r="D230" s="19">
        <v>45905</v>
      </c>
      <c r="E230" s="6" t="s">
        <v>184</v>
      </c>
      <c r="F230" s="7" t="s">
        <v>45</v>
      </c>
      <c r="G230" s="1">
        <v>0.41666666666666669</v>
      </c>
      <c r="H230" s="1">
        <v>0.75</v>
      </c>
      <c r="I230" s="7" t="s">
        <v>36</v>
      </c>
      <c r="J230" s="7" t="s">
        <v>45</v>
      </c>
      <c r="K230" s="10" t="str">
        <f t="shared" si="4"/>
        <v>8.0</v>
      </c>
      <c r="L230" s="24">
        <v>77499</v>
      </c>
      <c r="M230" s="24">
        <v>2222</v>
      </c>
    </row>
    <row r="231" spans="1:13">
      <c r="A231" s="4">
        <v>229</v>
      </c>
      <c r="B231" s="4" t="s">
        <v>37</v>
      </c>
      <c r="C231" s="37" t="s">
        <v>95</v>
      </c>
      <c r="D231" s="19">
        <v>45907</v>
      </c>
      <c r="E231" s="6" t="s">
        <v>82</v>
      </c>
      <c r="F231" s="7" t="s">
        <v>20</v>
      </c>
      <c r="G231" s="7">
        <v>0.58333333333333337</v>
      </c>
      <c r="H231" s="1">
        <v>0.91666666666666663</v>
      </c>
      <c r="I231" s="4" t="s">
        <v>28</v>
      </c>
      <c r="J231" s="2" t="s">
        <v>21</v>
      </c>
      <c r="K231" s="10" t="str">
        <f t="shared" si="4"/>
        <v>8.0</v>
      </c>
      <c r="L231" s="8">
        <v>171598</v>
      </c>
      <c r="M231" s="8">
        <v>5654</v>
      </c>
    </row>
    <row r="232" spans="1:13" hidden="1">
      <c r="A232" s="36">
        <v>230</v>
      </c>
      <c r="B232" s="4" t="s">
        <v>55</v>
      </c>
      <c r="C232" s="37" t="s">
        <v>96</v>
      </c>
      <c r="D232" s="19">
        <v>45908</v>
      </c>
      <c r="E232" s="26" t="s">
        <v>66</v>
      </c>
      <c r="F232" s="2" t="s">
        <v>45</v>
      </c>
      <c r="G232" s="27">
        <v>0.29166666666666669</v>
      </c>
      <c r="H232" s="1">
        <v>0.625</v>
      </c>
      <c r="I232" s="2" t="s">
        <v>45</v>
      </c>
      <c r="J232" s="2" t="s">
        <v>13</v>
      </c>
      <c r="K232" s="10" t="str">
        <f t="shared" si="4"/>
        <v>8.0</v>
      </c>
      <c r="L232" s="8">
        <v>85619</v>
      </c>
      <c r="M232" s="8">
        <v>2680</v>
      </c>
    </row>
    <row r="233" spans="1:13">
      <c r="A233" s="36">
        <v>231</v>
      </c>
      <c r="B233" s="4" t="s">
        <v>37</v>
      </c>
      <c r="C233" s="37" t="s">
        <v>95</v>
      </c>
      <c r="D233" s="19">
        <v>45908</v>
      </c>
      <c r="E233" s="20" t="s">
        <v>75</v>
      </c>
      <c r="F233" s="7" t="s">
        <v>98</v>
      </c>
      <c r="G233" s="1">
        <v>0.58333333333333337</v>
      </c>
      <c r="H233" s="1">
        <v>0.9375</v>
      </c>
      <c r="I233" s="1" t="s">
        <v>98</v>
      </c>
      <c r="J233" s="2" t="s">
        <v>72</v>
      </c>
      <c r="K233" s="10" t="str">
        <f t="shared" si="4"/>
        <v>8.5</v>
      </c>
      <c r="L233" s="21">
        <v>135500</v>
      </c>
      <c r="M233" s="21">
        <v>5246</v>
      </c>
    </row>
    <row r="234" spans="1:13" hidden="1">
      <c r="A234" s="4">
        <v>232</v>
      </c>
      <c r="B234" s="4" t="s">
        <v>85</v>
      </c>
      <c r="C234" s="37" t="s">
        <v>96</v>
      </c>
      <c r="D234" s="19">
        <v>45910</v>
      </c>
      <c r="E234" s="6" t="s">
        <v>184</v>
      </c>
      <c r="F234" s="7" t="s">
        <v>45</v>
      </c>
      <c r="G234" s="1">
        <v>0.41666666666666669</v>
      </c>
      <c r="H234" s="1">
        <v>0.75</v>
      </c>
      <c r="I234" s="4" t="s">
        <v>36</v>
      </c>
      <c r="J234" s="7" t="s">
        <v>45</v>
      </c>
      <c r="K234" s="10" t="str">
        <f t="shared" si="4"/>
        <v>8.0</v>
      </c>
      <c r="L234" s="24">
        <v>77499</v>
      </c>
      <c r="M234" s="24">
        <v>2222</v>
      </c>
    </row>
    <row r="235" spans="1:13">
      <c r="A235" s="4">
        <v>233</v>
      </c>
      <c r="B235" s="4" t="s">
        <v>37</v>
      </c>
      <c r="C235" s="37" t="s">
        <v>95</v>
      </c>
      <c r="D235" s="19">
        <v>45911</v>
      </c>
      <c r="E235" s="26" t="s">
        <v>39</v>
      </c>
      <c r="F235" s="27" t="s">
        <v>98</v>
      </c>
      <c r="G235" s="27">
        <v>0.54166666666666663</v>
      </c>
      <c r="H235" s="1">
        <v>0.875</v>
      </c>
      <c r="I235" s="27" t="s">
        <v>98</v>
      </c>
      <c r="J235" s="2" t="s">
        <v>40</v>
      </c>
      <c r="K235" s="10" t="str">
        <f t="shared" si="4"/>
        <v>8.0</v>
      </c>
      <c r="L235" s="28">
        <v>169379</v>
      </c>
      <c r="M235" s="16">
        <v>5622</v>
      </c>
    </row>
    <row r="236" spans="1:13" hidden="1">
      <c r="A236" s="36">
        <v>234</v>
      </c>
      <c r="B236" s="4" t="s">
        <v>55</v>
      </c>
      <c r="C236" s="37" t="s">
        <v>96</v>
      </c>
      <c r="D236" s="19">
        <v>45913</v>
      </c>
      <c r="E236" s="26" t="s">
        <v>66</v>
      </c>
      <c r="F236" s="2" t="s">
        <v>45</v>
      </c>
      <c r="G236" s="27">
        <v>0.41666666666666669</v>
      </c>
      <c r="H236" s="1">
        <v>0.75</v>
      </c>
      <c r="I236" s="2" t="s">
        <v>45</v>
      </c>
      <c r="J236" s="2" t="s">
        <v>36</v>
      </c>
      <c r="K236" s="10" t="str">
        <f t="shared" si="4"/>
        <v>8.0</v>
      </c>
      <c r="L236" s="8">
        <v>85619</v>
      </c>
      <c r="M236" s="8">
        <v>2680</v>
      </c>
    </row>
    <row r="237" spans="1:13">
      <c r="A237" s="36">
        <v>235</v>
      </c>
      <c r="B237" s="4" t="s">
        <v>37</v>
      </c>
      <c r="C237" s="37" t="s">
        <v>95</v>
      </c>
      <c r="D237" s="19">
        <v>45913</v>
      </c>
      <c r="E237" s="6" t="s">
        <v>82</v>
      </c>
      <c r="F237" s="7" t="s">
        <v>20</v>
      </c>
      <c r="G237" s="27">
        <v>0.33333333333333331</v>
      </c>
      <c r="H237" s="1">
        <v>0.875</v>
      </c>
      <c r="I237" s="4" t="s">
        <v>28</v>
      </c>
      <c r="J237" s="2" t="s">
        <v>21</v>
      </c>
      <c r="K237" s="10" t="str">
        <f t="shared" si="4"/>
        <v>13.0</v>
      </c>
      <c r="L237" s="8">
        <v>171598</v>
      </c>
      <c r="M237" s="8">
        <v>5654</v>
      </c>
    </row>
    <row r="238" spans="1:13">
      <c r="A238" s="4">
        <v>236</v>
      </c>
      <c r="B238" s="4" t="s">
        <v>48</v>
      </c>
      <c r="C238" s="37" t="s">
        <v>95</v>
      </c>
      <c r="D238" s="19">
        <v>45914</v>
      </c>
      <c r="E238" s="25" t="s">
        <v>43</v>
      </c>
      <c r="F238" s="2" t="s">
        <v>45</v>
      </c>
      <c r="G238" s="7">
        <v>0.29166666666666669</v>
      </c>
      <c r="H238" s="1">
        <v>0.75</v>
      </c>
      <c r="I238" s="4" t="s">
        <v>45</v>
      </c>
      <c r="J238" s="2" t="s">
        <v>18</v>
      </c>
      <c r="K238" s="10" t="str">
        <f t="shared" si="4"/>
        <v>11.0</v>
      </c>
      <c r="L238" s="11">
        <v>168666</v>
      </c>
      <c r="M238" s="8">
        <v>4919</v>
      </c>
    </row>
    <row r="239" spans="1:13" hidden="1">
      <c r="A239" s="4">
        <v>237</v>
      </c>
      <c r="B239" s="4" t="s">
        <v>85</v>
      </c>
      <c r="C239" s="37" t="s">
        <v>96</v>
      </c>
      <c r="D239" s="19">
        <v>45915</v>
      </c>
      <c r="E239" s="6" t="s">
        <v>184</v>
      </c>
      <c r="F239" s="7" t="s">
        <v>45</v>
      </c>
      <c r="G239" s="1">
        <v>0.41666666666666669</v>
      </c>
      <c r="H239" s="1">
        <v>0.75</v>
      </c>
      <c r="I239" s="20" t="s">
        <v>36</v>
      </c>
      <c r="J239" s="7" t="s">
        <v>45</v>
      </c>
      <c r="K239" s="10" t="str">
        <f t="shared" si="4"/>
        <v>8.0</v>
      </c>
      <c r="L239" s="24">
        <v>77499</v>
      </c>
      <c r="M239" s="24">
        <v>2222</v>
      </c>
    </row>
    <row r="240" spans="1:13">
      <c r="A240" s="36">
        <v>238</v>
      </c>
      <c r="B240" s="4" t="s">
        <v>37</v>
      </c>
      <c r="C240" s="37" t="s">
        <v>95</v>
      </c>
      <c r="D240" s="19">
        <v>45916</v>
      </c>
      <c r="E240" s="20" t="s">
        <v>75</v>
      </c>
      <c r="F240" s="7" t="s">
        <v>98</v>
      </c>
      <c r="G240" s="1">
        <v>0.58333333333333337</v>
      </c>
      <c r="H240" s="1">
        <v>0.9375</v>
      </c>
      <c r="I240" s="1" t="s">
        <v>98</v>
      </c>
      <c r="J240" s="2" t="s">
        <v>36</v>
      </c>
      <c r="K240" s="10" t="str">
        <f t="shared" si="4"/>
        <v>8.5</v>
      </c>
      <c r="L240" s="21">
        <v>135500</v>
      </c>
      <c r="M240" s="21">
        <v>5246</v>
      </c>
    </row>
    <row r="241" spans="1:13">
      <c r="A241" s="36">
        <v>239</v>
      </c>
      <c r="B241" s="4" t="s">
        <v>37</v>
      </c>
      <c r="C241" s="37" t="s">
        <v>95</v>
      </c>
      <c r="D241" s="19">
        <v>45916</v>
      </c>
      <c r="E241" s="25" t="s">
        <v>78</v>
      </c>
      <c r="F241" s="7" t="s">
        <v>20</v>
      </c>
      <c r="G241" s="7">
        <v>0.29166666666666669</v>
      </c>
      <c r="H241" s="1">
        <v>0.66666666666666663</v>
      </c>
      <c r="I241" s="27" t="s">
        <v>13</v>
      </c>
      <c r="J241" s="2" t="s">
        <v>21</v>
      </c>
      <c r="K241" s="10" t="str">
        <f t="shared" si="4"/>
        <v>9.0</v>
      </c>
      <c r="L241" s="24">
        <v>115906</v>
      </c>
      <c r="M241" s="24">
        <v>3247</v>
      </c>
    </row>
    <row r="242" spans="1:13" hidden="1">
      <c r="A242" s="4">
        <v>240</v>
      </c>
      <c r="B242" s="4" t="s">
        <v>55</v>
      </c>
      <c r="C242" s="37" t="s">
        <v>96</v>
      </c>
      <c r="D242" s="19">
        <v>45918</v>
      </c>
      <c r="E242" s="26" t="s">
        <v>66</v>
      </c>
      <c r="F242" s="2" t="s">
        <v>45</v>
      </c>
      <c r="G242" s="27">
        <v>0.33333333333333331</v>
      </c>
      <c r="H242" s="1">
        <v>0.66666666666666663</v>
      </c>
      <c r="I242" s="2" t="s">
        <v>45</v>
      </c>
      <c r="J242" s="2" t="s">
        <v>36</v>
      </c>
      <c r="K242" s="10" t="str">
        <f t="shared" si="4"/>
        <v>8.0</v>
      </c>
      <c r="L242" s="8">
        <v>85619</v>
      </c>
      <c r="M242" s="8">
        <v>2680</v>
      </c>
    </row>
    <row r="243" spans="1:13" hidden="1">
      <c r="A243" s="4">
        <v>241</v>
      </c>
      <c r="B243" s="4" t="s">
        <v>85</v>
      </c>
      <c r="C243" s="37" t="s">
        <v>96</v>
      </c>
      <c r="D243" s="19">
        <v>45920</v>
      </c>
      <c r="E243" s="6" t="s">
        <v>184</v>
      </c>
      <c r="F243" s="7" t="s">
        <v>45</v>
      </c>
      <c r="G243" s="1">
        <v>0.41666666666666669</v>
      </c>
      <c r="H243" s="1">
        <v>0.75</v>
      </c>
      <c r="I243" s="4" t="s">
        <v>36</v>
      </c>
      <c r="J243" s="7" t="s">
        <v>45</v>
      </c>
      <c r="K243" s="10" t="str">
        <f t="shared" si="4"/>
        <v>8.0</v>
      </c>
      <c r="L243" s="24">
        <v>77499</v>
      </c>
      <c r="M243" s="24">
        <v>2222</v>
      </c>
    </row>
    <row r="244" spans="1:13">
      <c r="A244" s="36">
        <v>242</v>
      </c>
      <c r="B244" s="4" t="s">
        <v>37</v>
      </c>
      <c r="C244" s="37" t="s">
        <v>95</v>
      </c>
      <c r="D244" s="19">
        <v>45922</v>
      </c>
      <c r="E244" s="6" t="s">
        <v>82</v>
      </c>
      <c r="F244" s="7" t="s">
        <v>20</v>
      </c>
      <c r="G244" s="7">
        <v>0.33333333333333331</v>
      </c>
      <c r="H244" s="1">
        <v>0.75</v>
      </c>
      <c r="I244" s="4" t="s">
        <v>16</v>
      </c>
      <c r="J244" s="2" t="s">
        <v>21</v>
      </c>
      <c r="K244" s="10" t="str">
        <f t="shared" ref="K244:K300" si="5">TEXT((VALUE(H244)-VALUE(G244))*24,"0.0")</f>
        <v>10.0</v>
      </c>
      <c r="L244" s="8">
        <v>171598</v>
      </c>
      <c r="M244" s="8">
        <v>5654</v>
      </c>
    </row>
    <row r="245" spans="1:13" hidden="1">
      <c r="A245" s="36">
        <v>243</v>
      </c>
      <c r="B245" s="4" t="s">
        <v>55</v>
      </c>
      <c r="C245" s="37" t="s">
        <v>96</v>
      </c>
      <c r="D245" s="19">
        <v>45923</v>
      </c>
      <c r="E245" s="26" t="s">
        <v>66</v>
      </c>
      <c r="F245" s="2" t="s">
        <v>45</v>
      </c>
      <c r="G245" s="27">
        <v>0.33333333333333331</v>
      </c>
      <c r="H245" s="1">
        <v>0.66666666666666663</v>
      </c>
      <c r="I245" s="2" t="s">
        <v>45</v>
      </c>
      <c r="J245" s="2" t="s">
        <v>72</v>
      </c>
      <c r="K245" s="10" t="str">
        <f t="shared" si="5"/>
        <v>8.0</v>
      </c>
      <c r="L245" s="8">
        <v>85619</v>
      </c>
      <c r="M245" s="8">
        <v>2680</v>
      </c>
    </row>
    <row r="246" spans="1:13">
      <c r="A246" s="4">
        <v>244</v>
      </c>
      <c r="B246" s="4" t="s">
        <v>37</v>
      </c>
      <c r="C246" s="37" t="s">
        <v>95</v>
      </c>
      <c r="D246" s="19">
        <v>45924</v>
      </c>
      <c r="E246" s="20" t="s">
        <v>75</v>
      </c>
      <c r="F246" s="7" t="s">
        <v>98</v>
      </c>
      <c r="G246" s="1">
        <v>0.58333333333333337</v>
      </c>
      <c r="H246" s="1">
        <v>0.9375</v>
      </c>
      <c r="I246" s="1" t="s">
        <v>98</v>
      </c>
      <c r="J246" s="2" t="s">
        <v>36</v>
      </c>
      <c r="K246" s="10" t="str">
        <f t="shared" si="5"/>
        <v>8.5</v>
      </c>
      <c r="L246" s="21">
        <v>135500</v>
      </c>
      <c r="M246" s="21">
        <v>5246</v>
      </c>
    </row>
    <row r="247" spans="1:13" hidden="1">
      <c r="A247" s="4">
        <v>245</v>
      </c>
      <c r="B247" s="4" t="s">
        <v>96</v>
      </c>
      <c r="C247" s="37" t="s">
        <v>96</v>
      </c>
      <c r="D247" s="19">
        <v>45925</v>
      </c>
      <c r="E247" s="3" t="s">
        <v>19</v>
      </c>
      <c r="F247" s="5" t="s">
        <v>20</v>
      </c>
      <c r="G247" s="7">
        <v>0.29166666666666669</v>
      </c>
      <c r="H247" s="1">
        <v>0.66666666666666663</v>
      </c>
      <c r="I247" s="4" t="s">
        <v>84</v>
      </c>
      <c r="J247" s="2" t="s">
        <v>18</v>
      </c>
      <c r="K247" s="10" t="str">
        <f t="shared" si="5"/>
        <v>9.0</v>
      </c>
      <c r="L247" s="29">
        <v>91011</v>
      </c>
      <c r="M247" s="24">
        <v>2593</v>
      </c>
    </row>
    <row r="248" spans="1:13">
      <c r="A248" s="36">
        <v>246</v>
      </c>
      <c r="B248" s="4" t="s">
        <v>85</v>
      </c>
      <c r="C248" s="37" t="s">
        <v>95</v>
      </c>
      <c r="D248" s="19">
        <v>45925</v>
      </c>
      <c r="E248" s="6" t="s">
        <v>184</v>
      </c>
      <c r="F248" s="7" t="s">
        <v>45</v>
      </c>
      <c r="G248" s="1">
        <v>0.41666666666666669</v>
      </c>
      <c r="H248" s="1">
        <v>0.75</v>
      </c>
      <c r="I248" s="20" t="s">
        <v>36</v>
      </c>
      <c r="J248" s="7" t="s">
        <v>45</v>
      </c>
      <c r="K248" s="10" t="str">
        <f t="shared" si="5"/>
        <v>8.0</v>
      </c>
      <c r="L248" s="24">
        <v>77499</v>
      </c>
      <c r="M248" s="24">
        <v>2222</v>
      </c>
    </row>
    <row r="249" spans="1:13">
      <c r="A249" s="36">
        <v>247</v>
      </c>
      <c r="B249" s="4" t="s">
        <v>48</v>
      </c>
      <c r="C249" s="37" t="s">
        <v>95</v>
      </c>
      <c r="D249" s="19">
        <v>45928</v>
      </c>
      <c r="E249" s="25" t="s">
        <v>43</v>
      </c>
      <c r="F249" s="2" t="s">
        <v>45</v>
      </c>
      <c r="G249" s="7">
        <v>0.29166666666666669</v>
      </c>
      <c r="H249" s="1">
        <v>0.75</v>
      </c>
      <c r="I249" s="4" t="s">
        <v>45</v>
      </c>
      <c r="J249" s="2" t="s">
        <v>18</v>
      </c>
      <c r="K249" s="10" t="str">
        <f t="shared" si="5"/>
        <v>11.0</v>
      </c>
      <c r="L249" s="11">
        <v>168666</v>
      </c>
      <c r="M249" s="8">
        <v>4919</v>
      </c>
    </row>
    <row r="250" spans="1:13">
      <c r="A250" s="4">
        <v>248</v>
      </c>
      <c r="B250" s="4" t="s">
        <v>37</v>
      </c>
      <c r="C250" s="37" t="s">
        <v>95</v>
      </c>
      <c r="D250" s="19">
        <v>45928</v>
      </c>
      <c r="E250" s="20" t="s">
        <v>75</v>
      </c>
      <c r="F250" s="7" t="s">
        <v>98</v>
      </c>
      <c r="G250" s="1">
        <v>0.58333333333333337</v>
      </c>
      <c r="H250" s="1">
        <v>0.9375</v>
      </c>
      <c r="I250" s="1" t="s">
        <v>98</v>
      </c>
      <c r="J250" s="2" t="s">
        <v>36</v>
      </c>
      <c r="K250" s="10" t="str">
        <f t="shared" si="5"/>
        <v>8.5</v>
      </c>
      <c r="L250" s="21">
        <v>135500</v>
      </c>
      <c r="M250" s="21">
        <v>5246</v>
      </c>
    </row>
    <row r="251" spans="1:13" hidden="1">
      <c r="A251" s="4">
        <v>249</v>
      </c>
      <c r="B251" s="4" t="s">
        <v>55</v>
      </c>
      <c r="C251" s="37" t="s">
        <v>96</v>
      </c>
      <c r="D251" s="19">
        <v>45928</v>
      </c>
      <c r="E251" s="26" t="s">
        <v>66</v>
      </c>
      <c r="F251" s="2" t="s">
        <v>45</v>
      </c>
      <c r="G251" s="27">
        <v>0.33333333333333331</v>
      </c>
      <c r="H251" s="1">
        <v>0.66666666666666663</v>
      </c>
      <c r="I251" s="2" t="s">
        <v>45</v>
      </c>
      <c r="J251" s="2" t="s">
        <v>36</v>
      </c>
      <c r="K251" s="10" t="str">
        <f t="shared" si="5"/>
        <v>8.0</v>
      </c>
      <c r="L251" s="8">
        <v>85619</v>
      </c>
      <c r="M251" s="8">
        <v>2680</v>
      </c>
    </row>
    <row r="252" spans="1:13" hidden="1">
      <c r="A252" s="36">
        <v>250</v>
      </c>
      <c r="B252" s="4" t="s">
        <v>55</v>
      </c>
      <c r="C252" s="37" t="s">
        <v>55</v>
      </c>
      <c r="D252" s="19">
        <v>45930</v>
      </c>
      <c r="E252" s="6" t="s">
        <v>184</v>
      </c>
      <c r="F252" s="7" t="s">
        <v>45</v>
      </c>
      <c r="G252" s="7">
        <v>0.41666666666666669</v>
      </c>
      <c r="H252" s="1">
        <v>0.75</v>
      </c>
      <c r="I252" s="4" t="s">
        <v>13</v>
      </c>
      <c r="J252" s="2" t="s">
        <v>45</v>
      </c>
      <c r="K252" s="10" t="str">
        <f>TEXT((VALUE(H252)-VALUE(G252))*24,"0.0")</f>
        <v>8.0</v>
      </c>
      <c r="L252" s="24">
        <v>77499</v>
      </c>
      <c r="M252" s="24">
        <v>2222</v>
      </c>
    </row>
    <row r="253" spans="1:13">
      <c r="A253" s="36">
        <v>251</v>
      </c>
      <c r="B253" s="4" t="s">
        <v>37</v>
      </c>
      <c r="C253" s="37" t="s">
        <v>95</v>
      </c>
      <c r="D253" s="19">
        <v>45931</v>
      </c>
      <c r="E253" s="6" t="s">
        <v>82</v>
      </c>
      <c r="F253" s="7" t="s">
        <v>20</v>
      </c>
      <c r="G253" s="7">
        <v>0.33333333333333331</v>
      </c>
      <c r="H253" s="1">
        <v>0.75</v>
      </c>
      <c r="I253" s="4" t="s">
        <v>16</v>
      </c>
      <c r="J253" s="2" t="s">
        <v>21</v>
      </c>
      <c r="K253" s="10" t="str">
        <f t="shared" si="5"/>
        <v>10.0</v>
      </c>
      <c r="L253" s="8">
        <v>171598</v>
      </c>
      <c r="M253" s="8">
        <v>5654</v>
      </c>
    </row>
    <row r="254" spans="1:13">
      <c r="A254" s="4">
        <v>252</v>
      </c>
      <c r="B254" s="4" t="s">
        <v>37</v>
      </c>
      <c r="C254" s="37" t="s">
        <v>95</v>
      </c>
      <c r="D254" s="19">
        <v>45932</v>
      </c>
      <c r="E254" s="26" t="s">
        <v>39</v>
      </c>
      <c r="F254" s="27" t="s">
        <v>98</v>
      </c>
      <c r="G254" s="27">
        <v>0.54166666666666663</v>
      </c>
      <c r="H254" s="1">
        <v>0.875</v>
      </c>
      <c r="I254" s="27" t="s">
        <v>98</v>
      </c>
      <c r="J254" s="2" t="s">
        <v>36</v>
      </c>
      <c r="K254" s="10" t="str">
        <f t="shared" si="5"/>
        <v>8.0</v>
      </c>
      <c r="L254" s="28">
        <v>169379</v>
      </c>
      <c r="M254" s="16">
        <v>5622</v>
      </c>
    </row>
    <row r="255" spans="1:13" hidden="1">
      <c r="A255" s="4">
        <v>253</v>
      </c>
      <c r="B255" s="4" t="s">
        <v>55</v>
      </c>
      <c r="C255" s="37" t="s">
        <v>55</v>
      </c>
      <c r="D255" s="19">
        <v>45936</v>
      </c>
      <c r="E255" s="6" t="s">
        <v>184</v>
      </c>
      <c r="F255" s="7" t="s">
        <v>45</v>
      </c>
      <c r="G255" s="27">
        <v>0.5</v>
      </c>
      <c r="H255" s="1">
        <v>0.83333333333333337</v>
      </c>
      <c r="I255" s="20" t="s">
        <v>18</v>
      </c>
      <c r="J255" s="7" t="s">
        <v>45</v>
      </c>
      <c r="K255" s="10" t="str">
        <f>TEXT((VALUE(H255)-VALUE(G255))*24,"0.0")</f>
        <v>8.0</v>
      </c>
      <c r="L255" s="24">
        <v>77499</v>
      </c>
      <c r="M255" s="24">
        <v>2222</v>
      </c>
    </row>
    <row r="256" spans="1:13">
      <c r="A256" s="36">
        <v>254</v>
      </c>
      <c r="B256" s="4" t="s">
        <v>48</v>
      </c>
      <c r="C256" s="37" t="s">
        <v>95</v>
      </c>
      <c r="D256" s="19">
        <v>45936</v>
      </c>
      <c r="E256" s="25" t="s">
        <v>43</v>
      </c>
      <c r="F256" s="2" t="s">
        <v>45</v>
      </c>
      <c r="G256" s="7">
        <v>0.33333333333333331</v>
      </c>
      <c r="H256" s="1">
        <v>0.79166666666666663</v>
      </c>
      <c r="I256" s="4" t="s">
        <v>49</v>
      </c>
      <c r="J256" s="4" t="s">
        <v>45</v>
      </c>
      <c r="K256" s="10" t="str">
        <f t="shared" si="5"/>
        <v>11.0</v>
      </c>
      <c r="L256" s="11">
        <v>168666</v>
      </c>
      <c r="M256" s="8">
        <v>4919</v>
      </c>
    </row>
    <row r="257" spans="1:13" hidden="1">
      <c r="A257" s="36">
        <v>255</v>
      </c>
      <c r="B257" s="4" t="s">
        <v>55</v>
      </c>
      <c r="C257" s="37" t="s">
        <v>96</v>
      </c>
      <c r="D257" s="19">
        <v>45939</v>
      </c>
      <c r="E257" s="26" t="s">
        <v>66</v>
      </c>
      <c r="F257" s="2" t="s">
        <v>45</v>
      </c>
      <c r="G257" s="27">
        <v>0.33333333333333331</v>
      </c>
      <c r="H257" s="1">
        <v>0.66666666666666663</v>
      </c>
      <c r="I257" s="2" t="s">
        <v>45</v>
      </c>
      <c r="J257" s="2" t="s">
        <v>36</v>
      </c>
      <c r="K257" s="10" t="str">
        <f t="shared" si="5"/>
        <v>8.0</v>
      </c>
      <c r="L257" s="8">
        <v>85619</v>
      </c>
      <c r="M257" s="8">
        <v>2680</v>
      </c>
    </row>
    <row r="258" spans="1:13">
      <c r="A258" s="4">
        <v>256</v>
      </c>
      <c r="B258" s="73" t="s">
        <v>37</v>
      </c>
      <c r="C258" s="74" t="s">
        <v>95</v>
      </c>
      <c r="D258" s="75">
        <v>45939</v>
      </c>
      <c r="E258" s="133" t="s">
        <v>75</v>
      </c>
      <c r="F258" s="77" t="s">
        <v>98</v>
      </c>
      <c r="G258" s="78">
        <v>0.58333333333333337</v>
      </c>
      <c r="H258" s="78">
        <v>0.9375</v>
      </c>
      <c r="I258" s="78" t="s">
        <v>98</v>
      </c>
      <c r="J258" s="79" t="s">
        <v>36</v>
      </c>
      <c r="K258" s="80" t="str">
        <f t="shared" si="5"/>
        <v>8.5</v>
      </c>
      <c r="L258" s="134">
        <v>135500</v>
      </c>
      <c r="M258" s="134">
        <v>5246</v>
      </c>
    </row>
    <row r="259" spans="1:13">
      <c r="A259" s="4">
        <v>257</v>
      </c>
      <c r="B259" s="135" t="s">
        <v>37</v>
      </c>
      <c r="C259" s="97" t="s">
        <v>95</v>
      </c>
      <c r="D259" s="98">
        <v>45940</v>
      </c>
      <c r="E259" s="116" t="s">
        <v>39</v>
      </c>
      <c r="F259" s="117" t="s">
        <v>98</v>
      </c>
      <c r="G259" s="117">
        <v>0.54166666666666663</v>
      </c>
      <c r="H259" s="109">
        <v>0.875</v>
      </c>
      <c r="I259" s="117" t="s">
        <v>98</v>
      </c>
      <c r="J259" s="104" t="s">
        <v>36</v>
      </c>
      <c r="K259" s="105" t="str">
        <f t="shared" si="5"/>
        <v>8.0</v>
      </c>
      <c r="L259" s="118">
        <v>169379</v>
      </c>
      <c r="M259" s="136">
        <v>5622</v>
      </c>
    </row>
    <row r="260" spans="1:13" ht="18" thickBot="1">
      <c r="A260" s="36">
        <v>258</v>
      </c>
      <c r="B260" s="138" t="s">
        <v>37</v>
      </c>
      <c r="C260" s="139" t="s">
        <v>95</v>
      </c>
      <c r="D260" s="140">
        <v>45940</v>
      </c>
      <c r="E260" s="141" t="s">
        <v>82</v>
      </c>
      <c r="F260" s="142" t="s">
        <v>20</v>
      </c>
      <c r="G260" s="142">
        <v>0.33333333333333331</v>
      </c>
      <c r="H260" s="143">
        <v>0.75</v>
      </c>
      <c r="I260" s="144" t="s">
        <v>16</v>
      </c>
      <c r="J260" s="145" t="s">
        <v>21</v>
      </c>
      <c r="K260" s="146" t="str">
        <f t="shared" si="5"/>
        <v>10.0</v>
      </c>
      <c r="L260" s="147">
        <v>171598</v>
      </c>
      <c r="M260" s="148">
        <v>5654</v>
      </c>
    </row>
    <row r="261" spans="1:13" hidden="1">
      <c r="A261" s="36">
        <v>259</v>
      </c>
      <c r="B261" s="4" t="s">
        <v>55</v>
      </c>
      <c r="C261" s="37" t="s">
        <v>55</v>
      </c>
      <c r="D261" s="83">
        <v>45941</v>
      </c>
      <c r="E261" s="6" t="s">
        <v>184</v>
      </c>
      <c r="F261" s="7" t="s">
        <v>45</v>
      </c>
      <c r="G261" s="7">
        <v>0.41666666666666669</v>
      </c>
      <c r="H261" s="1">
        <v>0.75</v>
      </c>
      <c r="I261" s="149" t="s">
        <v>29</v>
      </c>
      <c r="J261" s="150" t="s">
        <v>45</v>
      </c>
      <c r="K261" s="10" t="str">
        <f>TEXT((VALUE(H261)-VALUE(G261))*24,"0.0")</f>
        <v>8.0</v>
      </c>
      <c r="L261" s="24">
        <v>77499</v>
      </c>
      <c r="M261" s="24">
        <v>2222</v>
      </c>
    </row>
    <row r="262" spans="1:13">
      <c r="A262" s="4">
        <v>260</v>
      </c>
      <c r="B262" s="43" t="s">
        <v>37</v>
      </c>
      <c r="C262" s="26" t="s">
        <v>95</v>
      </c>
      <c r="D262" s="83">
        <v>45943</v>
      </c>
      <c r="E262" s="25" t="s">
        <v>75</v>
      </c>
      <c r="F262" s="7" t="s">
        <v>98</v>
      </c>
      <c r="G262" s="7">
        <v>0.58333333333333337</v>
      </c>
      <c r="H262" s="7">
        <v>0.9375</v>
      </c>
      <c r="I262" s="7" t="s">
        <v>98</v>
      </c>
      <c r="J262" s="42" t="s">
        <v>36</v>
      </c>
      <c r="K262" s="84" t="str">
        <f t="shared" si="5"/>
        <v>8.5</v>
      </c>
      <c r="L262" s="24">
        <v>135500</v>
      </c>
      <c r="M262" s="24">
        <v>5246</v>
      </c>
    </row>
    <row r="263" spans="1:13">
      <c r="A263" s="4">
        <v>261</v>
      </c>
      <c r="B263" s="4" t="s">
        <v>55</v>
      </c>
      <c r="C263" s="37" t="s">
        <v>95</v>
      </c>
      <c r="D263" s="19">
        <v>45944</v>
      </c>
      <c r="E263" s="26" t="s">
        <v>66</v>
      </c>
      <c r="F263" s="2" t="s">
        <v>45</v>
      </c>
      <c r="G263" s="27">
        <v>0.33333333333333331</v>
      </c>
      <c r="H263" s="1">
        <v>0.66666666666666663</v>
      </c>
      <c r="I263" s="2" t="s">
        <v>45</v>
      </c>
      <c r="J263" s="2" t="s">
        <v>72</v>
      </c>
      <c r="K263" s="10" t="str">
        <f t="shared" si="5"/>
        <v>8.0</v>
      </c>
      <c r="L263" s="8">
        <v>85619</v>
      </c>
      <c r="M263" s="8">
        <v>2680</v>
      </c>
    </row>
    <row r="264" spans="1:13" hidden="1">
      <c r="A264" s="36">
        <v>262</v>
      </c>
      <c r="B264" s="4" t="s">
        <v>90</v>
      </c>
      <c r="C264" s="37" t="s">
        <v>96</v>
      </c>
      <c r="D264" s="19">
        <v>45944</v>
      </c>
      <c r="E264" s="26" t="s">
        <v>91</v>
      </c>
      <c r="F264" s="7" t="s">
        <v>92</v>
      </c>
      <c r="G264" s="27">
        <v>0.25</v>
      </c>
      <c r="H264" s="1">
        <v>0.75</v>
      </c>
      <c r="I264" s="2" t="s">
        <v>93</v>
      </c>
      <c r="J264" s="42" t="s">
        <v>29</v>
      </c>
      <c r="K264" s="10" t="str">
        <f t="shared" si="5"/>
        <v>12.0</v>
      </c>
      <c r="L264" s="8">
        <v>5602</v>
      </c>
      <c r="M264" s="8">
        <v>120</v>
      </c>
    </row>
    <row r="265" spans="1:13" hidden="1">
      <c r="A265" s="36">
        <v>263</v>
      </c>
      <c r="B265" s="4" t="s">
        <v>55</v>
      </c>
      <c r="C265" s="37" t="s">
        <v>55</v>
      </c>
      <c r="D265" s="19">
        <v>45946</v>
      </c>
      <c r="E265" s="6" t="s">
        <v>184</v>
      </c>
      <c r="F265" s="7" t="s">
        <v>45</v>
      </c>
      <c r="G265" s="7">
        <v>0.41666666666666669</v>
      </c>
      <c r="H265" s="1">
        <v>0.75</v>
      </c>
      <c r="I265" s="2" t="s">
        <v>18</v>
      </c>
      <c r="J265" s="42" t="s">
        <v>45</v>
      </c>
      <c r="K265" s="10" t="str">
        <f>TEXT((VALUE(H265)-VALUE(G265))*24,"0.0")</f>
        <v>8.0</v>
      </c>
      <c r="L265" s="24">
        <v>77499</v>
      </c>
      <c r="M265" s="24">
        <v>2222</v>
      </c>
    </row>
    <row r="266" spans="1:13">
      <c r="A266" s="4">
        <v>264</v>
      </c>
      <c r="B266" s="4" t="s">
        <v>37</v>
      </c>
      <c r="C266" s="37" t="s">
        <v>37</v>
      </c>
      <c r="D266" s="19">
        <v>45946</v>
      </c>
      <c r="E266" s="6" t="s">
        <v>76</v>
      </c>
      <c r="F266" s="42" t="s">
        <v>177</v>
      </c>
      <c r="G266" s="7">
        <v>0.41666666666666669</v>
      </c>
      <c r="H266" s="1">
        <v>0.91666666666666663</v>
      </c>
      <c r="I266" s="2" t="s">
        <v>178</v>
      </c>
      <c r="J266" s="42" t="s">
        <v>177</v>
      </c>
      <c r="K266" s="10" t="str">
        <f t="shared" si="5"/>
        <v>12.0</v>
      </c>
      <c r="L266" s="68">
        <v>137936</v>
      </c>
      <c r="M266" s="8">
        <v>4363</v>
      </c>
    </row>
    <row r="267" spans="1:13">
      <c r="A267" s="4">
        <v>265</v>
      </c>
      <c r="B267" s="4" t="s">
        <v>181</v>
      </c>
      <c r="C267" s="37" t="s">
        <v>181</v>
      </c>
      <c r="D267" s="19">
        <v>45947</v>
      </c>
      <c r="E267" s="6" t="s">
        <v>82</v>
      </c>
      <c r="F267" s="42" t="s">
        <v>28</v>
      </c>
      <c r="G267" s="7">
        <v>0.29166666666666669</v>
      </c>
      <c r="H267" s="1">
        <v>0.75</v>
      </c>
      <c r="I267" s="2" t="s">
        <v>182</v>
      </c>
      <c r="J267" s="42" t="s">
        <v>183</v>
      </c>
      <c r="K267" s="10" t="str">
        <f t="shared" si="5"/>
        <v>11.0</v>
      </c>
      <c r="L267" s="8">
        <v>171598</v>
      </c>
      <c r="M267" s="8">
        <v>5654</v>
      </c>
    </row>
    <row r="268" spans="1:13" hidden="1">
      <c r="A268" s="36">
        <v>266</v>
      </c>
      <c r="B268" s="4" t="s">
        <v>55</v>
      </c>
      <c r="C268" s="37" t="s">
        <v>96</v>
      </c>
      <c r="D268" s="19">
        <v>45947</v>
      </c>
      <c r="E268" s="6" t="s">
        <v>15</v>
      </c>
      <c r="F268" s="20" t="s">
        <v>65</v>
      </c>
      <c r="G268" s="7">
        <v>0.41666666666666669</v>
      </c>
      <c r="H268" s="1">
        <v>0.75</v>
      </c>
      <c r="I268" s="4" t="s">
        <v>87</v>
      </c>
      <c r="J268" s="2" t="s">
        <v>65</v>
      </c>
      <c r="K268" s="10" t="str">
        <f t="shared" si="5"/>
        <v>8.0</v>
      </c>
      <c r="L268" s="29">
        <v>75904</v>
      </c>
      <c r="M268" s="24">
        <v>2018</v>
      </c>
    </row>
    <row r="269" spans="1:13">
      <c r="A269" s="36">
        <v>267</v>
      </c>
      <c r="B269" s="4" t="s">
        <v>37</v>
      </c>
      <c r="C269" s="37" t="s">
        <v>95</v>
      </c>
      <c r="D269" s="19">
        <v>45948</v>
      </c>
      <c r="E269" s="26" t="s">
        <v>39</v>
      </c>
      <c r="F269" s="27" t="s">
        <v>98</v>
      </c>
      <c r="G269" s="27">
        <v>0.54166666666666663</v>
      </c>
      <c r="H269" s="1">
        <v>0.875</v>
      </c>
      <c r="I269" s="27" t="s">
        <v>98</v>
      </c>
      <c r="J269" s="27" t="s">
        <v>98</v>
      </c>
      <c r="K269" s="10" t="str">
        <f t="shared" si="5"/>
        <v>8.0</v>
      </c>
      <c r="L269" s="28">
        <v>169379</v>
      </c>
      <c r="M269" s="16">
        <v>5622</v>
      </c>
    </row>
    <row r="270" spans="1:13" hidden="1">
      <c r="A270" s="4">
        <v>268</v>
      </c>
      <c r="B270" s="4" t="s">
        <v>55</v>
      </c>
      <c r="C270" s="37" t="s">
        <v>96</v>
      </c>
      <c r="D270" s="19">
        <v>45949</v>
      </c>
      <c r="E270" s="26" t="s">
        <v>66</v>
      </c>
      <c r="F270" s="2" t="s">
        <v>45</v>
      </c>
      <c r="G270" s="27">
        <v>0.33333333333333331</v>
      </c>
      <c r="H270" s="1">
        <v>0.66666666666666663</v>
      </c>
      <c r="I270" s="2" t="s">
        <v>45</v>
      </c>
      <c r="J270" s="2" t="s">
        <v>36</v>
      </c>
      <c r="K270" s="10" t="str">
        <f t="shared" si="5"/>
        <v>8.0</v>
      </c>
      <c r="L270" s="8">
        <v>85619</v>
      </c>
      <c r="M270" s="8">
        <v>2680</v>
      </c>
    </row>
    <row r="271" spans="1:13">
      <c r="A271" s="4">
        <v>269</v>
      </c>
      <c r="B271" s="4" t="s">
        <v>85</v>
      </c>
      <c r="C271" s="37" t="s">
        <v>95</v>
      </c>
      <c r="D271" s="19">
        <v>45950</v>
      </c>
      <c r="E271" s="6" t="s">
        <v>184</v>
      </c>
      <c r="F271" s="7" t="s">
        <v>45</v>
      </c>
      <c r="G271" s="1">
        <v>0.375</v>
      </c>
      <c r="H271" s="1">
        <v>0.70833333333333337</v>
      </c>
      <c r="I271" s="20" t="s">
        <v>18</v>
      </c>
      <c r="J271" s="7" t="s">
        <v>45</v>
      </c>
      <c r="K271" s="10" t="str">
        <f t="shared" si="5"/>
        <v>8.0</v>
      </c>
      <c r="L271" s="24">
        <v>77499</v>
      </c>
      <c r="M271" s="24">
        <v>2222</v>
      </c>
    </row>
    <row r="272" spans="1:13" hidden="1">
      <c r="A272" s="36">
        <v>270</v>
      </c>
      <c r="B272" s="4" t="s">
        <v>88</v>
      </c>
      <c r="C272" s="37" t="s">
        <v>96</v>
      </c>
      <c r="D272" s="19">
        <v>45950</v>
      </c>
      <c r="E272" s="6" t="s">
        <v>15</v>
      </c>
      <c r="F272" s="20" t="s">
        <v>65</v>
      </c>
      <c r="G272" s="7">
        <v>0.375</v>
      </c>
      <c r="H272" s="1">
        <v>0.70833333333333337</v>
      </c>
      <c r="I272" s="25" t="s">
        <v>89</v>
      </c>
      <c r="J272" s="7" t="s">
        <v>13</v>
      </c>
      <c r="K272" s="10" t="str">
        <f t="shared" si="5"/>
        <v>8.0</v>
      </c>
      <c r="L272" s="29">
        <v>75904</v>
      </c>
      <c r="M272" s="24">
        <v>2018</v>
      </c>
    </row>
    <row r="273" spans="1:13" hidden="1">
      <c r="A273" s="36">
        <v>271</v>
      </c>
      <c r="B273" s="4" t="s">
        <v>55</v>
      </c>
      <c r="C273" s="37" t="s">
        <v>55</v>
      </c>
      <c r="D273" s="19">
        <v>45951</v>
      </c>
      <c r="E273" s="6" t="s">
        <v>184</v>
      </c>
      <c r="F273" s="7" t="s">
        <v>45</v>
      </c>
      <c r="G273" s="7">
        <v>0.41666666666666669</v>
      </c>
      <c r="H273" s="1">
        <v>0.75</v>
      </c>
      <c r="I273" s="25" t="s">
        <v>36</v>
      </c>
      <c r="J273" s="7" t="s">
        <v>45</v>
      </c>
      <c r="K273" s="10" t="str">
        <f>TEXT((VALUE(H273)-VALUE(G273))*24,"0.0")</f>
        <v>8.0</v>
      </c>
      <c r="L273" s="24">
        <v>77499</v>
      </c>
      <c r="M273" s="24">
        <v>2222</v>
      </c>
    </row>
    <row r="274" spans="1:13">
      <c r="A274" s="4">
        <v>272</v>
      </c>
      <c r="B274" s="4" t="s">
        <v>37</v>
      </c>
      <c r="C274" s="37" t="s">
        <v>95</v>
      </c>
      <c r="D274" s="19">
        <v>45951</v>
      </c>
      <c r="E274" s="25" t="s">
        <v>78</v>
      </c>
      <c r="F274" s="7" t="s">
        <v>20</v>
      </c>
      <c r="G274" s="7">
        <v>0.29166666666666669</v>
      </c>
      <c r="H274" s="1">
        <v>0.66666666666666663</v>
      </c>
      <c r="I274" s="27" t="s">
        <v>13</v>
      </c>
      <c r="J274" s="2" t="s">
        <v>21</v>
      </c>
      <c r="K274" s="10" t="str">
        <f t="shared" si="5"/>
        <v>9.0</v>
      </c>
      <c r="L274" s="24">
        <v>115906</v>
      </c>
      <c r="M274" s="24">
        <v>3247</v>
      </c>
    </row>
    <row r="275" spans="1:13">
      <c r="A275" s="4">
        <v>273</v>
      </c>
      <c r="B275" s="4" t="s">
        <v>37</v>
      </c>
      <c r="C275" s="37" t="s">
        <v>95</v>
      </c>
      <c r="D275" s="19">
        <v>45952</v>
      </c>
      <c r="E275" s="6" t="s">
        <v>82</v>
      </c>
      <c r="F275" s="7" t="s">
        <v>148</v>
      </c>
      <c r="G275" s="7">
        <v>0.58333333333333337</v>
      </c>
      <c r="H275" s="1">
        <v>0.875</v>
      </c>
      <c r="I275" s="4" t="s">
        <v>148</v>
      </c>
      <c r="J275" s="2" t="s">
        <v>29</v>
      </c>
      <c r="K275" s="10" t="str">
        <f t="shared" si="5"/>
        <v>7.0</v>
      </c>
      <c r="L275" s="8">
        <v>171598</v>
      </c>
      <c r="M275" s="8">
        <v>5654</v>
      </c>
    </row>
    <row r="276" spans="1:13" hidden="1">
      <c r="A276" s="36">
        <v>274</v>
      </c>
      <c r="B276" s="4" t="s">
        <v>90</v>
      </c>
      <c r="C276" s="37" t="s">
        <v>96</v>
      </c>
      <c r="D276" s="19">
        <v>45952</v>
      </c>
      <c r="E276" s="6" t="s">
        <v>91</v>
      </c>
      <c r="F276" s="7" t="s">
        <v>92</v>
      </c>
      <c r="G276" s="27">
        <v>0.25</v>
      </c>
      <c r="H276" s="1">
        <v>0.75</v>
      </c>
      <c r="I276" s="4" t="s">
        <v>94</v>
      </c>
      <c r="J276" s="2" t="s">
        <v>93</v>
      </c>
      <c r="K276" s="10" t="str">
        <f t="shared" si="5"/>
        <v>12.0</v>
      </c>
      <c r="L276" s="8">
        <v>5602</v>
      </c>
      <c r="M276" s="8">
        <v>120</v>
      </c>
    </row>
    <row r="277" spans="1:13" hidden="1">
      <c r="A277" s="36">
        <v>275</v>
      </c>
      <c r="B277" s="4" t="s">
        <v>55</v>
      </c>
      <c r="C277" s="37" t="s">
        <v>96</v>
      </c>
      <c r="D277" s="19">
        <v>45954</v>
      </c>
      <c r="E277" s="26" t="s">
        <v>66</v>
      </c>
      <c r="F277" s="2" t="s">
        <v>45</v>
      </c>
      <c r="G277" s="27">
        <v>0.33333333333333331</v>
      </c>
      <c r="H277" s="1">
        <v>0.66666666666666663</v>
      </c>
      <c r="I277" s="2" t="s">
        <v>45</v>
      </c>
      <c r="J277" s="2" t="s">
        <v>13</v>
      </c>
      <c r="K277" s="10" t="str">
        <f t="shared" si="5"/>
        <v>8.0</v>
      </c>
      <c r="L277" s="8">
        <v>85619</v>
      </c>
      <c r="M277" s="8">
        <v>2680</v>
      </c>
    </row>
    <row r="278" spans="1:13">
      <c r="A278" s="4">
        <v>276</v>
      </c>
      <c r="B278" s="43" t="s">
        <v>37</v>
      </c>
      <c r="C278" s="26" t="s">
        <v>37</v>
      </c>
      <c r="D278" s="19">
        <v>45954</v>
      </c>
      <c r="E278" s="25" t="s">
        <v>75</v>
      </c>
      <c r="F278" s="7" t="s">
        <v>98</v>
      </c>
      <c r="G278" s="27">
        <v>0.45833333333333331</v>
      </c>
      <c r="H278" s="1">
        <v>0.8125</v>
      </c>
      <c r="I278" s="2" t="s">
        <v>36</v>
      </c>
      <c r="J278" s="78" t="s">
        <v>98</v>
      </c>
      <c r="K278" s="84" t="str">
        <f>TEXT((VALUE(H278)-VALUE(G278))*24,"0.0")</f>
        <v>8.5</v>
      </c>
      <c r="L278" s="24">
        <v>135500</v>
      </c>
      <c r="M278" s="24">
        <v>5246</v>
      </c>
    </row>
    <row r="279" spans="1:13" hidden="1">
      <c r="A279" s="4">
        <v>277</v>
      </c>
      <c r="B279" s="4" t="s">
        <v>55</v>
      </c>
      <c r="C279" s="37" t="s">
        <v>55</v>
      </c>
      <c r="D279" s="19">
        <v>45956</v>
      </c>
      <c r="E279" s="6" t="s">
        <v>184</v>
      </c>
      <c r="F279" s="7" t="s">
        <v>45</v>
      </c>
      <c r="G279" s="7">
        <v>0.41666666666666669</v>
      </c>
      <c r="H279" s="1">
        <v>0.75</v>
      </c>
      <c r="I279" s="4" t="s">
        <v>13</v>
      </c>
      <c r="J279" s="78" t="s">
        <v>45</v>
      </c>
      <c r="K279" s="10" t="str">
        <f>TEXT((VALUE(H279)-VALUE(G279))*24,"0.0")</f>
        <v>8.0</v>
      </c>
      <c r="L279" s="24">
        <v>77499</v>
      </c>
      <c r="M279" s="24">
        <v>2222</v>
      </c>
    </row>
    <row r="280" spans="1:13">
      <c r="A280" s="36">
        <v>278</v>
      </c>
      <c r="B280" s="4" t="s">
        <v>37</v>
      </c>
      <c r="C280" s="37" t="s">
        <v>95</v>
      </c>
      <c r="D280" s="19">
        <v>45956</v>
      </c>
      <c r="E280" s="26" t="s">
        <v>39</v>
      </c>
      <c r="F280" s="27" t="s">
        <v>98</v>
      </c>
      <c r="G280" s="27">
        <v>0.54166666666666663</v>
      </c>
      <c r="H280" s="1">
        <v>0.875</v>
      </c>
      <c r="I280" s="27" t="s">
        <v>98</v>
      </c>
      <c r="J280" s="2" t="s">
        <v>50</v>
      </c>
      <c r="K280" s="10" t="str">
        <f t="shared" si="5"/>
        <v>8.0</v>
      </c>
      <c r="L280" s="28">
        <v>169379</v>
      </c>
      <c r="M280" s="16">
        <v>5622</v>
      </c>
    </row>
    <row r="281" spans="1:13" hidden="1">
      <c r="A281" s="36">
        <v>279</v>
      </c>
      <c r="B281" s="4" t="s">
        <v>55</v>
      </c>
      <c r="C281" s="37" t="s">
        <v>96</v>
      </c>
      <c r="D281" s="19">
        <v>45959</v>
      </c>
      <c r="E281" s="26" t="s">
        <v>66</v>
      </c>
      <c r="F281" s="2" t="s">
        <v>45</v>
      </c>
      <c r="G281" s="27">
        <v>0.33333333333333331</v>
      </c>
      <c r="H281" s="1">
        <v>0.66666666666666663</v>
      </c>
      <c r="I281" s="2" t="s">
        <v>45</v>
      </c>
      <c r="J281" s="2" t="s">
        <v>36</v>
      </c>
      <c r="K281" s="10" t="str">
        <f t="shared" si="5"/>
        <v>8.0</v>
      </c>
      <c r="L281" s="8">
        <v>85619</v>
      </c>
      <c r="M281" s="8">
        <v>2680</v>
      </c>
    </row>
    <row r="282" spans="1:13">
      <c r="A282" s="4">
        <v>280</v>
      </c>
      <c r="B282" s="4" t="s">
        <v>37</v>
      </c>
      <c r="C282" s="37" t="s">
        <v>95</v>
      </c>
      <c r="D282" s="19">
        <v>45960</v>
      </c>
      <c r="E282" s="20" t="s">
        <v>75</v>
      </c>
      <c r="F282" s="7" t="s">
        <v>98</v>
      </c>
      <c r="G282" s="1">
        <v>0.58333333333333337</v>
      </c>
      <c r="H282" s="1">
        <v>0.9375</v>
      </c>
      <c r="I282" s="1" t="s">
        <v>98</v>
      </c>
      <c r="J282" s="2" t="s">
        <v>13</v>
      </c>
      <c r="K282" s="10" t="str">
        <f t="shared" si="5"/>
        <v>8.5</v>
      </c>
      <c r="L282" s="21">
        <v>135500</v>
      </c>
      <c r="M282" s="21">
        <v>5246</v>
      </c>
    </row>
    <row r="283" spans="1:13" hidden="1">
      <c r="A283" s="4">
        <v>281</v>
      </c>
      <c r="B283" s="4" t="s">
        <v>55</v>
      </c>
      <c r="C283" s="37" t="s">
        <v>55</v>
      </c>
      <c r="D283" s="19">
        <v>45960</v>
      </c>
      <c r="E283" s="25" t="s">
        <v>169</v>
      </c>
      <c r="F283" s="1" t="s">
        <v>165</v>
      </c>
      <c r="G283" s="7">
        <v>0.33333333333333331</v>
      </c>
      <c r="H283" s="1">
        <v>0.70833333333333337</v>
      </c>
      <c r="I283" s="1" t="s">
        <v>165</v>
      </c>
      <c r="J283" s="1" t="s">
        <v>165</v>
      </c>
      <c r="K283" s="10" t="str">
        <f t="shared" si="5"/>
        <v>9.0</v>
      </c>
      <c r="L283" s="24">
        <v>50444</v>
      </c>
      <c r="M283" s="24">
        <v>960</v>
      </c>
    </row>
    <row r="284" spans="1:13">
      <c r="A284" s="36">
        <v>282</v>
      </c>
      <c r="B284" s="4" t="s">
        <v>37</v>
      </c>
      <c r="C284" s="37" t="s">
        <v>95</v>
      </c>
      <c r="D284" s="19">
        <v>45961</v>
      </c>
      <c r="E284" s="6" t="s">
        <v>82</v>
      </c>
      <c r="F284" s="7" t="s">
        <v>20</v>
      </c>
      <c r="G284" s="7">
        <v>0.33333333333333331</v>
      </c>
      <c r="H284" s="1">
        <v>0.75</v>
      </c>
      <c r="I284" s="4" t="s">
        <v>16</v>
      </c>
      <c r="J284" s="2" t="s">
        <v>21</v>
      </c>
      <c r="K284" s="10" t="str">
        <f t="shared" si="5"/>
        <v>10.0</v>
      </c>
      <c r="L284" s="8">
        <v>171598</v>
      </c>
      <c r="M284" s="8">
        <v>5654</v>
      </c>
    </row>
    <row r="285" spans="1:13" hidden="1">
      <c r="A285" s="36">
        <v>283</v>
      </c>
      <c r="B285" s="4" t="s">
        <v>55</v>
      </c>
      <c r="C285" s="37" t="s">
        <v>96</v>
      </c>
      <c r="D285" s="19">
        <v>45964</v>
      </c>
      <c r="E285" s="26" t="s">
        <v>66</v>
      </c>
      <c r="F285" s="2" t="s">
        <v>45</v>
      </c>
      <c r="G285" s="27">
        <v>0.33333333333333331</v>
      </c>
      <c r="H285" s="1">
        <v>0.66666666666666663</v>
      </c>
      <c r="I285" s="2" t="s">
        <v>45</v>
      </c>
      <c r="J285" s="2" t="s">
        <v>36</v>
      </c>
      <c r="K285" s="10" t="str">
        <f t="shared" si="5"/>
        <v>8.0</v>
      </c>
      <c r="L285" s="8">
        <v>85619</v>
      </c>
      <c r="M285" s="8">
        <v>2680</v>
      </c>
    </row>
    <row r="286" spans="1:13">
      <c r="A286" s="4">
        <v>284</v>
      </c>
      <c r="B286" s="4" t="s">
        <v>37</v>
      </c>
      <c r="C286" s="37" t="s">
        <v>95</v>
      </c>
      <c r="D286" s="19">
        <v>45964</v>
      </c>
      <c r="E286" s="20" t="s">
        <v>75</v>
      </c>
      <c r="F286" s="7" t="s">
        <v>98</v>
      </c>
      <c r="G286" s="1">
        <v>0.58333333333333337</v>
      </c>
      <c r="H286" s="1">
        <v>0.9375</v>
      </c>
      <c r="I286" s="1" t="s">
        <v>98</v>
      </c>
      <c r="J286" s="2" t="s">
        <v>36</v>
      </c>
      <c r="K286" s="10" t="str">
        <f t="shared" si="5"/>
        <v>8.5</v>
      </c>
      <c r="L286" s="21">
        <v>135500</v>
      </c>
      <c r="M286" s="21">
        <v>5246</v>
      </c>
    </row>
    <row r="287" spans="1:13" hidden="1">
      <c r="A287" s="4">
        <v>285</v>
      </c>
      <c r="B287" s="4" t="s">
        <v>55</v>
      </c>
      <c r="C287" s="37" t="s">
        <v>96</v>
      </c>
      <c r="D287" s="19">
        <v>45969</v>
      </c>
      <c r="E287" s="26" t="s">
        <v>66</v>
      </c>
      <c r="F287" s="2" t="s">
        <v>45</v>
      </c>
      <c r="G287" s="27">
        <v>0.33333333333333331</v>
      </c>
      <c r="H287" s="1">
        <v>0.66666666666666663</v>
      </c>
      <c r="I287" s="2" t="s">
        <v>45</v>
      </c>
      <c r="J287" s="2" t="s">
        <v>72</v>
      </c>
      <c r="K287" s="10" t="str">
        <f t="shared" si="5"/>
        <v>8.0</v>
      </c>
      <c r="L287" s="8">
        <v>85619</v>
      </c>
      <c r="M287" s="8">
        <v>2680</v>
      </c>
    </row>
    <row r="288" spans="1:13">
      <c r="A288" s="36">
        <v>286</v>
      </c>
      <c r="B288" s="4" t="s">
        <v>37</v>
      </c>
      <c r="C288" s="37" t="s">
        <v>95</v>
      </c>
      <c r="D288" s="19">
        <v>45970</v>
      </c>
      <c r="E288" s="6" t="s">
        <v>82</v>
      </c>
      <c r="F288" s="7" t="s">
        <v>20</v>
      </c>
      <c r="G288" s="7">
        <v>0.33333333333333331</v>
      </c>
      <c r="H288" s="1">
        <v>0.75</v>
      </c>
      <c r="I288" s="4" t="s">
        <v>16</v>
      </c>
      <c r="J288" s="2" t="s">
        <v>21</v>
      </c>
      <c r="K288" s="10" t="str">
        <f t="shared" si="5"/>
        <v>10.0</v>
      </c>
      <c r="L288" s="8">
        <v>171598</v>
      </c>
      <c r="M288" s="8">
        <v>5654</v>
      </c>
    </row>
    <row r="289" spans="1:13" hidden="1">
      <c r="A289" s="36">
        <v>287</v>
      </c>
      <c r="B289" s="4" t="s">
        <v>55</v>
      </c>
      <c r="C289" s="37" t="s">
        <v>96</v>
      </c>
      <c r="D289" s="19">
        <v>45970</v>
      </c>
      <c r="E289" s="6" t="s">
        <v>15</v>
      </c>
      <c r="F289" s="20" t="s">
        <v>65</v>
      </c>
      <c r="G289" s="7">
        <v>0.33333333333333331</v>
      </c>
      <c r="H289" s="1">
        <v>0.66666666666666663</v>
      </c>
      <c r="I289" s="4" t="s">
        <v>87</v>
      </c>
      <c r="J289" s="4" t="s">
        <v>65</v>
      </c>
      <c r="K289" s="10" t="str">
        <f t="shared" si="5"/>
        <v>8.0</v>
      </c>
      <c r="L289" s="11">
        <v>75904</v>
      </c>
      <c r="M289" s="8">
        <v>2018</v>
      </c>
    </row>
    <row r="290" spans="1:13">
      <c r="A290" s="4">
        <v>288</v>
      </c>
      <c r="B290" s="4" t="s">
        <v>37</v>
      </c>
      <c r="C290" s="37" t="s">
        <v>95</v>
      </c>
      <c r="D290" s="19">
        <v>45973</v>
      </c>
      <c r="E290" s="20" t="s">
        <v>75</v>
      </c>
      <c r="F290" s="7" t="s">
        <v>98</v>
      </c>
      <c r="G290" s="1">
        <v>0.58333333333333337</v>
      </c>
      <c r="H290" s="1">
        <v>0.9375</v>
      </c>
      <c r="I290" s="1" t="s">
        <v>98</v>
      </c>
      <c r="J290" s="2" t="s">
        <v>13</v>
      </c>
      <c r="K290" s="10" t="str">
        <f t="shared" si="5"/>
        <v>8.5</v>
      </c>
      <c r="L290" s="21">
        <v>135500</v>
      </c>
      <c r="M290" s="21">
        <v>5246</v>
      </c>
    </row>
    <row r="291" spans="1:13" hidden="1">
      <c r="A291" s="4">
        <v>289</v>
      </c>
      <c r="B291" s="4" t="s">
        <v>90</v>
      </c>
      <c r="C291" s="37" t="s">
        <v>96</v>
      </c>
      <c r="D291" s="19">
        <v>45973</v>
      </c>
      <c r="E291" s="25" t="s">
        <v>91</v>
      </c>
      <c r="F291" s="7" t="s">
        <v>92</v>
      </c>
      <c r="G291" s="7">
        <v>0.25</v>
      </c>
      <c r="H291" s="1">
        <v>0.75</v>
      </c>
      <c r="I291" s="1" t="s">
        <v>29</v>
      </c>
      <c r="J291" s="2" t="s">
        <v>65</v>
      </c>
      <c r="K291" s="10" t="str">
        <f t="shared" si="5"/>
        <v>12.0</v>
      </c>
      <c r="L291" s="24">
        <v>5602</v>
      </c>
      <c r="M291" s="24">
        <v>120</v>
      </c>
    </row>
    <row r="292" spans="1:13" hidden="1">
      <c r="A292" s="36">
        <v>290</v>
      </c>
      <c r="B292" s="4" t="s">
        <v>85</v>
      </c>
      <c r="C292" s="37" t="s">
        <v>96</v>
      </c>
      <c r="D292" s="19">
        <v>45974</v>
      </c>
      <c r="E292" s="6" t="s">
        <v>17</v>
      </c>
      <c r="F292" s="7" t="s">
        <v>92</v>
      </c>
      <c r="G292" s="7">
        <v>0.25</v>
      </c>
      <c r="H292" s="1">
        <v>0.58333333333333337</v>
      </c>
      <c r="I292" s="4" t="s">
        <v>13</v>
      </c>
      <c r="J292" s="2" t="s">
        <v>84</v>
      </c>
      <c r="K292" s="10" t="str">
        <f t="shared" si="5"/>
        <v>8.0</v>
      </c>
      <c r="L292" s="29">
        <v>78309</v>
      </c>
      <c r="M292" s="24">
        <v>2323</v>
      </c>
    </row>
    <row r="293" spans="1:13">
      <c r="A293" s="36">
        <v>291</v>
      </c>
      <c r="B293" s="4" t="s">
        <v>55</v>
      </c>
      <c r="C293" s="37" t="s">
        <v>95</v>
      </c>
      <c r="D293" s="19">
        <v>45974</v>
      </c>
      <c r="E293" s="26" t="s">
        <v>66</v>
      </c>
      <c r="F293" s="2" t="s">
        <v>45</v>
      </c>
      <c r="G293" s="27">
        <v>0.33333333333333331</v>
      </c>
      <c r="H293" s="1">
        <v>0.66666666666666663</v>
      </c>
      <c r="I293" s="2" t="s">
        <v>45</v>
      </c>
      <c r="J293" s="2" t="s">
        <v>13</v>
      </c>
      <c r="K293" s="10" t="str">
        <f t="shared" si="5"/>
        <v>8.0</v>
      </c>
      <c r="L293" s="8">
        <v>85619</v>
      </c>
      <c r="M293" s="8">
        <v>2680</v>
      </c>
    </row>
    <row r="294" spans="1:13" hidden="1">
      <c r="A294" s="4">
        <v>292</v>
      </c>
      <c r="B294" s="4" t="s">
        <v>85</v>
      </c>
      <c r="C294" s="37" t="s">
        <v>96</v>
      </c>
      <c r="D294" s="19">
        <v>45975</v>
      </c>
      <c r="E294" s="25" t="s">
        <v>31</v>
      </c>
      <c r="F294" s="7" t="s">
        <v>92</v>
      </c>
      <c r="G294" s="7">
        <v>0.33333333333333331</v>
      </c>
      <c r="H294" s="1">
        <v>0.66666666666666663</v>
      </c>
      <c r="I294" s="4" t="s">
        <v>57</v>
      </c>
      <c r="J294" s="2" t="s">
        <v>84</v>
      </c>
      <c r="K294" s="10" t="str">
        <f t="shared" si="5"/>
        <v>8.0</v>
      </c>
      <c r="L294" s="29">
        <v>55254</v>
      </c>
      <c r="M294" s="24">
        <v>829</v>
      </c>
    </row>
    <row r="295" spans="1:13" hidden="1">
      <c r="A295" s="4">
        <v>293</v>
      </c>
      <c r="B295" s="4" t="s">
        <v>85</v>
      </c>
      <c r="C295" s="37" t="s">
        <v>96</v>
      </c>
      <c r="D295" s="19">
        <v>45976</v>
      </c>
      <c r="E295" s="6" t="s">
        <v>17</v>
      </c>
      <c r="F295" s="7" t="s">
        <v>92</v>
      </c>
      <c r="G295" s="7">
        <v>0.5</v>
      </c>
      <c r="H295" s="1">
        <v>0.875</v>
      </c>
      <c r="I295" s="4" t="s">
        <v>84</v>
      </c>
      <c r="J295" s="2" t="s">
        <v>18</v>
      </c>
      <c r="K295" s="10" t="str">
        <f t="shared" si="5"/>
        <v>9.0</v>
      </c>
      <c r="L295" s="29">
        <v>78309</v>
      </c>
      <c r="M295" s="24">
        <v>2323</v>
      </c>
    </row>
    <row r="296" spans="1:13">
      <c r="A296" s="36">
        <v>294</v>
      </c>
      <c r="B296" s="4" t="s">
        <v>37</v>
      </c>
      <c r="C296" s="37" t="s">
        <v>95</v>
      </c>
      <c r="D296" s="19">
        <v>45977</v>
      </c>
      <c r="E296" s="26" t="s">
        <v>39</v>
      </c>
      <c r="F296" s="27" t="s">
        <v>98</v>
      </c>
      <c r="G296" s="27">
        <v>0.54166666666666663</v>
      </c>
      <c r="H296" s="1">
        <v>0.875</v>
      </c>
      <c r="I296" s="27" t="s">
        <v>98</v>
      </c>
      <c r="J296" s="2" t="s">
        <v>36</v>
      </c>
      <c r="K296" s="10" t="str">
        <f t="shared" si="5"/>
        <v>8.0</v>
      </c>
      <c r="L296" s="28">
        <v>169379</v>
      </c>
      <c r="M296" s="16">
        <v>5622</v>
      </c>
    </row>
    <row r="297" spans="1:13" hidden="1">
      <c r="A297" s="36">
        <v>295</v>
      </c>
      <c r="B297" s="4" t="s">
        <v>55</v>
      </c>
      <c r="C297" s="37" t="s">
        <v>96</v>
      </c>
      <c r="D297" s="19">
        <v>45979</v>
      </c>
      <c r="E297" s="26" t="s">
        <v>66</v>
      </c>
      <c r="F297" s="2" t="s">
        <v>45</v>
      </c>
      <c r="G297" s="27">
        <v>0.33333333333333331</v>
      </c>
      <c r="H297" s="1">
        <v>0.66666666666666663</v>
      </c>
      <c r="I297" s="2" t="s">
        <v>45</v>
      </c>
      <c r="J297" s="2" t="s">
        <v>36</v>
      </c>
      <c r="K297" s="10" t="str">
        <f t="shared" si="5"/>
        <v>8.0</v>
      </c>
      <c r="L297" s="8">
        <v>85619</v>
      </c>
      <c r="M297" s="8">
        <v>2680</v>
      </c>
    </row>
    <row r="298" spans="1:13">
      <c r="A298" s="4">
        <v>296</v>
      </c>
      <c r="B298" s="4" t="s">
        <v>37</v>
      </c>
      <c r="C298" s="37" t="s">
        <v>95</v>
      </c>
      <c r="D298" s="19">
        <v>45981</v>
      </c>
      <c r="E298" s="26" t="s">
        <v>39</v>
      </c>
      <c r="F298" s="27" t="s">
        <v>98</v>
      </c>
      <c r="G298" s="27">
        <v>0.54166666666666663</v>
      </c>
      <c r="H298" s="1">
        <v>0.875</v>
      </c>
      <c r="I298" s="27" t="s">
        <v>98</v>
      </c>
      <c r="J298" s="2" t="s">
        <v>36</v>
      </c>
      <c r="K298" s="10" t="str">
        <f t="shared" si="5"/>
        <v>8.0</v>
      </c>
      <c r="L298" s="28">
        <v>169379</v>
      </c>
      <c r="M298" s="16">
        <v>5622</v>
      </c>
    </row>
    <row r="299" spans="1:13">
      <c r="A299" s="4">
        <v>297</v>
      </c>
      <c r="B299" s="43" t="s">
        <v>37</v>
      </c>
      <c r="C299" s="26" t="s">
        <v>37</v>
      </c>
      <c r="D299" s="19">
        <v>45983</v>
      </c>
      <c r="E299" s="20" t="s">
        <v>75</v>
      </c>
      <c r="F299" s="7" t="s">
        <v>98</v>
      </c>
      <c r="G299" s="27">
        <v>0.41666666666666669</v>
      </c>
      <c r="H299" s="1">
        <v>0.79166666666666663</v>
      </c>
      <c r="I299" s="2" t="s">
        <v>36</v>
      </c>
      <c r="J299" s="78" t="s">
        <v>98</v>
      </c>
      <c r="K299" s="84" t="str">
        <f>TEXT((VALUE(H299)-VALUE(G299))*24,"0.0")</f>
        <v>9.0</v>
      </c>
      <c r="L299" s="24">
        <v>135500</v>
      </c>
      <c r="M299" s="24">
        <v>5246</v>
      </c>
    </row>
    <row r="300" spans="1:13" hidden="1">
      <c r="A300" s="36">
        <v>298</v>
      </c>
      <c r="B300" s="4" t="s">
        <v>55</v>
      </c>
      <c r="C300" s="37" t="s">
        <v>96</v>
      </c>
      <c r="D300" s="19">
        <v>45984</v>
      </c>
      <c r="E300" s="26" t="s">
        <v>66</v>
      </c>
      <c r="F300" s="2" t="s">
        <v>45</v>
      </c>
      <c r="G300" s="27">
        <v>0.33333333333333331</v>
      </c>
      <c r="H300" s="1">
        <v>0.66666666666666663</v>
      </c>
      <c r="I300" s="2" t="s">
        <v>45</v>
      </c>
      <c r="J300" s="2" t="s">
        <v>36</v>
      </c>
      <c r="K300" s="10" t="str">
        <f t="shared" si="5"/>
        <v>8.0</v>
      </c>
      <c r="L300" s="8">
        <v>85619</v>
      </c>
      <c r="M300" s="8">
        <v>2680</v>
      </c>
    </row>
    <row r="301" spans="1:13" hidden="1">
      <c r="A301" s="36">
        <v>299</v>
      </c>
      <c r="B301" s="4" t="s">
        <v>55</v>
      </c>
      <c r="C301" s="37" t="s">
        <v>96</v>
      </c>
      <c r="D301" s="19">
        <v>45989</v>
      </c>
      <c r="E301" s="26" t="s">
        <v>66</v>
      </c>
      <c r="F301" s="2" t="s">
        <v>45</v>
      </c>
      <c r="G301" s="27">
        <v>0.33333333333333331</v>
      </c>
      <c r="H301" s="1">
        <v>0.66666666666666663</v>
      </c>
      <c r="I301" s="2" t="s">
        <v>45</v>
      </c>
      <c r="J301" s="2" t="s">
        <v>72</v>
      </c>
      <c r="K301" s="10" t="str">
        <f t="shared" ref="K301:K307" si="6">TEXT((VALUE(H301)-VALUE(G301))*24,"0.0")</f>
        <v>8.0</v>
      </c>
      <c r="L301" s="8">
        <v>85619</v>
      </c>
      <c r="M301" s="8">
        <v>2680</v>
      </c>
    </row>
    <row r="302" spans="1:13">
      <c r="A302" s="4">
        <v>300</v>
      </c>
      <c r="B302" s="4" t="s">
        <v>37</v>
      </c>
      <c r="C302" s="37" t="s">
        <v>95</v>
      </c>
      <c r="D302" s="19">
        <v>45993</v>
      </c>
      <c r="E302" s="20" t="s">
        <v>75</v>
      </c>
      <c r="F302" s="7" t="s">
        <v>98</v>
      </c>
      <c r="G302" s="1">
        <v>0.58333333333333337</v>
      </c>
      <c r="H302" s="1">
        <v>0.9375</v>
      </c>
      <c r="I302" s="1" t="s">
        <v>98</v>
      </c>
      <c r="J302" s="2" t="s">
        <v>36</v>
      </c>
      <c r="K302" s="10" t="str">
        <f t="shared" si="6"/>
        <v>8.5</v>
      </c>
      <c r="L302" s="21">
        <v>135500</v>
      </c>
      <c r="M302" s="21">
        <v>5246</v>
      </c>
    </row>
    <row r="303" spans="1:13" hidden="1">
      <c r="A303" s="4">
        <v>301</v>
      </c>
      <c r="B303" s="4" t="s">
        <v>55</v>
      </c>
      <c r="C303" s="37" t="s">
        <v>96</v>
      </c>
      <c r="D303" s="19">
        <v>45995</v>
      </c>
      <c r="E303" s="26" t="s">
        <v>66</v>
      </c>
      <c r="F303" s="2" t="s">
        <v>68</v>
      </c>
      <c r="G303" s="27">
        <v>0.5</v>
      </c>
      <c r="H303" s="1">
        <v>0.83333333333333337</v>
      </c>
      <c r="I303" s="2" t="s">
        <v>18</v>
      </c>
      <c r="J303" s="2" t="s">
        <v>68</v>
      </c>
      <c r="K303" s="10" t="str">
        <f t="shared" si="6"/>
        <v>8.0</v>
      </c>
      <c r="L303" s="8">
        <v>85619</v>
      </c>
      <c r="M303" s="8">
        <v>2680</v>
      </c>
    </row>
    <row r="304" spans="1:13">
      <c r="A304" s="36">
        <v>302</v>
      </c>
      <c r="B304" s="4" t="s">
        <v>37</v>
      </c>
      <c r="C304" s="37" t="s">
        <v>37</v>
      </c>
      <c r="D304" s="19">
        <v>46000</v>
      </c>
      <c r="E304" s="6" t="s">
        <v>82</v>
      </c>
      <c r="F304" s="7" t="s">
        <v>98</v>
      </c>
      <c r="G304" s="27">
        <v>0.54166666666666663</v>
      </c>
      <c r="H304" s="1">
        <v>0.875</v>
      </c>
      <c r="I304" s="7" t="s">
        <v>98</v>
      </c>
      <c r="J304" s="2" t="s">
        <v>29</v>
      </c>
      <c r="K304" s="10" t="str">
        <f t="shared" si="6"/>
        <v>8.0</v>
      </c>
      <c r="L304" s="8">
        <v>171598</v>
      </c>
      <c r="M304" s="8">
        <v>5654</v>
      </c>
    </row>
    <row r="305" spans="1:13">
      <c r="A305" s="36">
        <v>303</v>
      </c>
      <c r="B305" s="4" t="s">
        <v>37</v>
      </c>
      <c r="C305" s="37" t="s">
        <v>95</v>
      </c>
      <c r="D305" s="19">
        <v>46001</v>
      </c>
      <c r="E305" s="20" t="s">
        <v>75</v>
      </c>
      <c r="F305" s="7" t="s">
        <v>98</v>
      </c>
      <c r="G305" s="1">
        <v>0.58333333333333337</v>
      </c>
      <c r="H305" s="1">
        <v>0.9375</v>
      </c>
      <c r="I305" s="1" t="s">
        <v>98</v>
      </c>
      <c r="J305" s="2" t="s">
        <v>72</v>
      </c>
      <c r="K305" s="10" t="str">
        <f t="shared" si="6"/>
        <v>8.5</v>
      </c>
      <c r="L305" s="21">
        <v>135500</v>
      </c>
      <c r="M305" s="21">
        <v>5246</v>
      </c>
    </row>
    <row r="306" spans="1:13">
      <c r="A306" s="4">
        <v>304</v>
      </c>
      <c r="B306" s="4" t="s">
        <v>37</v>
      </c>
      <c r="C306" s="37" t="s">
        <v>37</v>
      </c>
      <c r="D306" s="19">
        <v>46007</v>
      </c>
      <c r="E306" s="20" t="s">
        <v>75</v>
      </c>
      <c r="F306" s="7" t="s">
        <v>98</v>
      </c>
      <c r="G306" s="1">
        <v>0.45833333333333331</v>
      </c>
      <c r="H306" s="1">
        <v>0.875</v>
      </c>
      <c r="I306" s="1" t="s">
        <v>98</v>
      </c>
      <c r="J306" s="2" t="s">
        <v>36</v>
      </c>
      <c r="K306" s="10" t="str">
        <f t="shared" si="6"/>
        <v>10.0</v>
      </c>
      <c r="L306" s="21">
        <v>135500</v>
      </c>
      <c r="M306" s="21">
        <v>5246</v>
      </c>
    </row>
    <row r="307" spans="1:13">
      <c r="A307" s="4">
        <v>305</v>
      </c>
      <c r="B307" s="4" t="s">
        <v>37</v>
      </c>
      <c r="C307" s="37" t="s">
        <v>37</v>
      </c>
      <c r="D307" s="19">
        <v>46014</v>
      </c>
      <c r="E307" s="20" t="s">
        <v>75</v>
      </c>
      <c r="F307" s="7" t="s">
        <v>98</v>
      </c>
      <c r="G307" s="1">
        <v>0.58333333333333337</v>
      </c>
      <c r="H307" s="1">
        <v>0.9375</v>
      </c>
      <c r="I307" s="1" t="s">
        <v>98</v>
      </c>
      <c r="J307" s="2" t="s">
        <v>36</v>
      </c>
      <c r="K307" s="10" t="str">
        <f t="shared" si="6"/>
        <v>8.5</v>
      </c>
      <c r="L307" s="21">
        <v>135500</v>
      </c>
      <c r="M307" s="21">
        <v>5246</v>
      </c>
    </row>
  </sheetData>
  <autoFilter ref="A1:M307" xr:uid="{5B3FFCEB-1995-4FDF-840D-9F9720E5C62F}">
    <filterColumn colId="2">
      <filters>
        <filter val="강정"/>
      </filters>
    </filterColumn>
  </autoFilter>
  <phoneticPr fontId="3" type="noConversion"/>
  <conditionalFormatting sqref="D2:D3">
    <cfRule type="duplicateValues" dxfId="5" priority="1"/>
    <cfRule type="duplicateValues" dxfId="4" priority="2"/>
    <cfRule type="cellIs" dxfId="3" priority="3" operator="equal">
      <formula>45474</formula>
    </cfRule>
  </conditionalFormatting>
  <conditionalFormatting sqref="D4:D307">
    <cfRule type="duplicateValues" dxfId="2" priority="778"/>
    <cfRule type="duplicateValues" dxfId="1" priority="780"/>
    <cfRule type="cellIs" dxfId="0" priority="781" operator="equal">
      <formula>45474</formula>
    </cfRule>
  </conditionalFormatting>
  <pageMargins left="0.25" right="0.25" top="0.75" bottom="0.75" header="0.3" footer="0.3"/>
  <pageSetup paperSize="8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총괄</vt:lpstr>
      <vt:lpstr>제주항(JEJU)</vt:lpstr>
      <vt:lpstr>서귀포(SEOGWIPO)</vt:lpstr>
      <vt:lpstr>총괄(항구분없음)</vt:lpstr>
      <vt:lpstr>통합</vt:lpstr>
      <vt:lpstr>'서귀포(SEOGWIPO)'!Print_Area</vt:lpstr>
      <vt:lpstr>'제주항(JEJU)'!Print_Area</vt:lpstr>
      <vt:lpstr>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창민 여</cp:lastModifiedBy>
  <cp:lastPrinted>2024-05-13T08:47:23Z</cp:lastPrinted>
  <dcterms:created xsi:type="dcterms:W3CDTF">2023-09-21T08:05:49Z</dcterms:created>
  <dcterms:modified xsi:type="dcterms:W3CDTF">2026-07-21T15:12:14Z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YtMDctMTNUMTI6MjE6NThaIiwicElEIjoyMDQ4LCJ0cmFjZUlkIjoiODUxRDY4MDhFQjI1NDI4OEIwMkZDOTAyRDVBOENDRDAiLCJ1c2VyQ29kZSI6ImZsYW1lMDQifSwibm9kZTIiOnsiZHNkIjoiMDEwMDAwMDAwMDAwMjU1OCIsImxvZ1RpbWUiOiIyMDI2LTA3LTE0VDAwOjQwOjIzWiIsInBJRCI6MSwidHJhY2VJZCI6IjQ1QTE4MEM5REMzMDQ2RTBBQzFFMTA1OEY0QTdCRkE0IiwidXNlckNvZGUiOiJmbGFtZTA0In0sIm5vZGUzIjp7ImRzZCI6IjAwMDAwMDAwMDAwMDAwMDAiLCJsb2dUaW1lIjoiMjAyNi0wNy0xNFQwMDo0MTo1OVoiLCJwSUQiOjIwNDgsInRyYWNlSWQiOiI3NDQxOUM5MDAyNzU0Mjc4QTI2MEE3NENCOEUxMURFMSIsInVzZXJDb2RlIjoiZmxhbWUwNCJ9LCJub2RlNCI6eyJkc2QiOiIwMTAwMDAwMDAwMDAyNTU4IiwibG9nVGltZSI6IjIwMjYtMDctMThUMDU6NTc6MjBaIiwicElEIjoxLCJ0cmFjZUlkIjoiRTAzQzIzQjlDNUZGNDBBNjlERjE2NEQxQUFGMDBBNzciLCJ1c2VyQ29kZSI6ImZsYW1lMDQifSwibm9kZTUiOnsiZHNkIjoiMDAwMDAwMDAwMDAwMDAwMCIsImxvZ1RpbWUiOiIyMDI2LTA3LTE4VDA1OjU5OjA1WiIsInBJRCI6MjA0OCwidHJhY2VJZCI6IkExNkQxMUM0OTQ5QjQ1RkNBMEY3NDUwMDVDREYzNEU3IiwidXNlckNvZGUiOiJmbGFtZTA0In0sIm5vZGVDb3VudCI6NTd9</vt:lpwstr>
  </property>
</Properties>
</file>